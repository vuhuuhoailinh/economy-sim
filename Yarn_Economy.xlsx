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PC00190\Downloads\"/>
    </mc:Choice>
  </mc:AlternateContent>
  <xr:revisionPtr revIDLastSave="0" documentId="13_ncr:1_{2040A84D-C936-42F4-A4D1-48A649FFAEFA}" xr6:coauthVersionLast="47" xr6:coauthVersionMax="47" xr10:uidLastSave="{00000000-0000-0000-0000-000000000000}"/>
  <bookViews>
    <workbookView xWindow="-28920" yWindow="-30" windowWidth="29040" windowHeight="15720" tabRatio="500" activeTab="1" xr2:uid="{00000000-000D-0000-FFFF-FFFF00000000}"/>
  </bookViews>
  <sheets>
    <sheet name="⚙️ Assumptions" sheetId="1" r:id="rId1"/>
    <sheet name="📈 Player Journey" sheetId="2" r:id="rId2"/>
    <sheet name="💰 Daily Gold Flow" sheetId="3" r:id="rId3"/>
    <sheet name="🎪 Live-ops Calendar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1" i="1" l="1"/>
  <c r="B36" i="1"/>
  <c r="B25" i="1"/>
  <c r="D17" i="2" s="1"/>
  <c r="C35" i="2"/>
  <c r="C26" i="2"/>
  <c r="C27" i="2"/>
  <c r="C28" i="2"/>
  <c r="C29" i="2"/>
  <c r="C30" i="2"/>
  <c r="C31" i="2"/>
  <c r="C32" i="2"/>
  <c r="C33" i="2"/>
  <c r="C34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I6" i="4"/>
  <c r="I7" i="4"/>
  <c r="I8" i="4"/>
  <c r="I9" i="4"/>
  <c r="I10" i="4"/>
  <c r="I11" i="4"/>
  <c r="I5" i="4"/>
  <c r="F6" i="4"/>
  <c r="F7" i="4"/>
  <c r="F8" i="4"/>
  <c r="F9" i="4"/>
  <c r="F10" i="4"/>
  <c r="F11" i="4"/>
  <c r="F5" i="4"/>
  <c r="H11" i="4"/>
  <c r="G11" i="4"/>
  <c r="J11" i="4" s="1"/>
  <c r="H10" i="4"/>
  <c r="G10" i="4"/>
  <c r="H9" i="4"/>
  <c r="J9" i="4" s="1"/>
  <c r="G9" i="4"/>
  <c r="H8" i="4"/>
  <c r="G8" i="4"/>
  <c r="G7" i="4"/>
  <c r="H6" i="4"/>
  <c r="G6" i="4"/>
  <c r="J6" i="4" s="1"/>
  <c r="G5" i="4"/>
  <c r="J5" i="4" s="1"/>
  <c r="B8" i="1"/>
  <c r="B32" i="2" s="1"/>
  <c r="B34" i="2" l="1"/>
  <c r="B9" i="2"/>
  <c r="B16" i="1"/>
  <c r="B34" i="1"/>
  <c r="B24" i="2"/>
  <c r="B27" i="1"/>
  <c r="B25" i="2"/>
  <c r="B33" i="2"/>
  <c r="B35" i="2"/>
  <c r="D6" i="2"/>
  <c r="D4" i="2"/>
  <c r="D34" i="2"/>
  <c r="D9" i="2"/>
  <c r="B26" i="2"/>
  <c r="B16" i="2"/>
  <c r="B17" i="2"/>
  <c r="B8" i="2"/>
  <c r="B18" i="2"/>
  <c r="B27" i="2"/>
  <c r="B10" i="2"/>
  <c r="B19" i="2"/>
  <c r="B28" i="2"/>
  <c r="C5" i="3"/>
  <c r="B11" i="2"/>
  <c r="B20" i="2"/>
  <c r="B29" i="2"/>
  <c r="B35" i="1"/>
  <c r="B37" i="1" s="1"/>
  <c r="B38" i="1" s="1"/>
  <c r="B18" i="1" s="1"/>
  <c r="B12" i="2"/>
  <c r="B4" i="2"/>
  <c r="B21" i="2"/>
  <c r="B13" i="2"/>
  <c r="B5" i="2"/>
  <c r="D7" i="2"/>
  <c r="D15" i="2"/>
  <c r="D23" i="2"/>
  <c r="I12" i="4"/>
  <c r="I13" i="4" s="1"/>
  <c r="J8" i="4"/>
  <c r="J7" i="4"/>
  <c r="J10" i="4"/>
  <c r="D29" i="2"/>
  <c r="D21" i="2"/>
  <c r="D24" i="2"/>
  <c r="D32" i="2"/>
  <c r="B6" i="2"/>
  <c r="D11" i="2"/>
  <c r="B14" i="2"/>
  <c r="D19" i="2"/>
  <c r="B22" i="2"/>
  <c r="D27" i="2"/>
  <c r="B30" i="2"/>
  <c r="D35" i="2"/>
  <c r="D31" i="2"/>
  <c r="B26" i="1"/>
  <c r="D5" i="2"/>
  <c r="D13" i="2"/>
  <c r="D8" i="2"/>
  <c r="D16" i="2"/>
  <c r="D14" i="2"/>
  <c r="D22" i="2"/>
  <c r="D30" i="2"/>
  <c r="D25" i="2"/>
  <c r="D33" i="2"/>
  <c r="B7" i="2"/>
  <c r="D12" i="2"/>
  <c r="B15" i="2"/>
  <c r="D20" i="2"/>
  <c r="B23" i="2"/>
  <c r="D28" i="2"/>
  <c r="B31" i="2"/>
  <c r="D10" i="2"/>
  <c r="D18" i="2"/>
  <c r="D26" i="2"/>
  <c r="F35" i="2" l="1"/>
  <c r="F5" i="2"/>
  <c r="F27" i="2"/>
  <c r="F30" i="2"/>
  <c r="F22" i="2"/>
  <c r="F24" i="2"/>
  <c r="F10" i="2"/>
  <c r="F21" i="2"/>
  <c r="F18" i="2"/>
  <c r="F34" i="2"/>
  <c r="F23" i="2"/>
  <c r="F8" i="2"/>
  <c r="F12" i="2"/>
  <c r="F14" i="2"/>
  <c r="F29" i="2"/>
  <c r="F28" i="2"/>
  <c r="F16" i="2"/>
  <c r="F6" i="2"/>
  <c r="F7" i="2"/>
  <c r="F20" i="2"/>
  <c r="F15" i="2"/>
  <c r="F4" i="2"/>
  <c r="F31" i="2"/>
  <c r="F25" i="2"/>
  <c r="C12" i="3"/>
  <c r="C13" i="3" s="1"/>
  <c r="F17" i="2"/>
  <c r="F13" i="2"/>
  <c r="F11" i="2"/>
  <c r="F33" i="2"/>
  <c r="F19" i="2"/>
  <c r="F9" i="2"/>
  <c r="F32" i="2"/>
  <c r="F26" i="2"/>
  <c r="J12" i="4"/>
  <c r="J13" i="4" s="1"/>
  <c r="E31" i="2" s="1"/>
  <c r="E19" i="2"/>
  <c r="E13" i="2"/>
  <c r="E27" i="2"/>
  <c r="E21" i="2"/>
  <c r="E35" i="2"/>
  <c r="E29" i="2"/>
  <c r="E6" i="2"/>
  <c r="E16" i="2"/>
  <c r="E14" i="2"/>
  <c r="E8" i="2"/>
  <c r="E22" i="2"/>
  <c r="E24" i="2"/>
  <c r="E30" i="2"/>
  <c r="E32" i="2"/>
  <c r="E9" i="2"/>
  <c r="E4" i="2"/>
  <c r="E17" i="2"/>
  <c r="E12" i="2"/>
  <c r="E25" i="2"/>
  <c r="E20" i="2"/>
  <c r="E33" i="2"/>
  <c r="E28" i="2"/>
  <c r="C7" i="3"/>
  <c r="E10" i="2"/>
  <c r="E7" i="2"/>
  <c r="E18" i="2"/>
  <c r="E15" i="2"/>
  <c r="E26" i="2"/>
  <c r="E23" i="2"/>
  <c r="E34" i="2"/>
  <c r="E11" i="2"/>
  <c r="C6" i="3"/>
  <c r="B17" i="1"/>
  <c r="G23" i="2" l="1"/>
  <c r="G35" i="2"/>
  <c r="G30" i="2"/>
  <c r="G24" i="2"/>
  <c r="G22" i="2"/>
  <c r="G6" i="2"/>
  <c r="G8" i="2"/>
  <c r="G20" i="2"/>
  <c r="G27" i="2"/>
  <c r="B19" i="1"/>
  <c r="G18" i="2"/>
  <c r="G34" i="2"/>
  <c r="G32" i="2"/>
  <c r="G10" i="2"/>
  <c r="G21" i="2"/>
  <c r="G16" i="2"/>
  <c r="G33" i="2"/>
  <c r="G29" i="2"/>
  <c r="G13" i="2"/>
  <c r="G17" i="2"/>
  <c r="G28" i="2"/>
  <c r="G12" i="2"/>
  <c r="G19" i="2"/>
  <c r="G14" i="2"/>
  <c r="G11" i="2"/>
  <c r="G9" i="2"/>
  <c r="G4" i="2"/>
  <c r="G15" i="2"/>
  <c r="G26" i="2"/>
  <c r="G7" i="2"/>
  <c r="G25" i="2"/>
  <c r="G31" i="2"/>
  <c r="E5" i="2"/>
  <c r="G5" i="2" s="1"/>
  <c r="C8" i="3"/>
  <c r="D6" i="3" s="1"/>
  <c r="C21" i="3" l="1"/>
  <c r="C19" i="3"/>
  <c r="C16" i="3"/>
  <c r="D5" i="3"/>
  <c r="D12" i="3"/>
  <c r="D7" i="3"/>
  <c r="C20" i="3"/>
  <c r="C18" i="3" l="1"/>
  <c r="C17" i="3"/>
</calcChain>
</file>

<file path=xl/sharedStrings.xml><?xml version="1.0" encoding="utf-8"?>
<sst xmlns="http://schemas.openxmlformats.org/spreadsheetml/2006/main" count="141" uniqueCount="125">
  <si>
    <t>PLAYER PROGRESSION</t>
  </si>
  <si>
    <t>Parameter</t>
  </si>
  <si>
    <t>Value</t>
  </si>
  <si>
    <t>Notes</t>
  </si>
  <si>
    <t>Avg levels per session</t>
  </si>
  <si>
    <t>How many levels played per session</t>
  </si>
  <si>
    <t>Sessions per day (avg player)</t>
  </si>
  <si>
    <t>Daily active sessions</t>
  </si>
  <si>
    <t>Daily level clears (avg)</t>
  </si>
  <si>
    <t>Auto-calculated</t>
  </si>
  <si>
    <t>Level difficulty: % completed first try</t>
  </si>
  <si>
    <t>Win rate on first attempt</t>
  </si>
  <si>
    <t>Base level clears only (before video)</t>
  </si>
  <si>
    <t>Base level clears + video bonus + live-ops daily avg</t>
  </si>
  <si>
    <t>Reward video multiplier</t>
  </si>
  <si>
    <t>Video watch rate</t>
  </si>
  <si>
    <t>50% of level clears are followed by a watched video</t>
  </si>
  <si>
    <t>Effective video bonus per clear</t>
  </si>
  <si>
    <t>Daily clears × effective video bonus</t>
  </si>
  <si>
    <t>Base level clears, no video</t>
  </si>
  <si>
    <t>Daily levels played</t>
  </si>
  <si>
    <t>Pulled from Player Progression</t>
  </si>
  <si>
    <t>Daily failed levels</t>
  </si>
  <si>
    <t>Daily levels played × (1 - win rate)</t>
  </si>
  <si>
    <t>Triggers × purchase rate</t>
  </si>
  <si>
    <t>LIVE-OPS EVENTS</t>
  </si>
  <si>
    <t>Event</t>
  </si>
  <si>
    <t>Cadence (days)</t>
  </si>
  <si>
    <t>Level</t>
  </si>
  <si>
    <t>Days
Active</t>
  </si>
  <si>
    <t>Level Clears
Gold (cum)</t>
  </si>
  <si>
    <t>Video Bonus
Gold (cum)</t>
  </si>
  <si>
    <t>Live-ops
Gold (cum)</t>
  </si>
  <si>
    <t>Net Gold
Balance</t>
  </si>
  <si>
    <t>Source</t>
  </si>
  <si>
    <t>Basis</t>
  </si>
  <si>
    <t>% of Gross</t>
  </si>
  <si>
    <t>Level clears (base)</t>
  </si>
  <si>
    <t>Rewarded video bonus</t>
  </si>
  <si>
    <t>Live-ops (daily avg)</t>
  </si>
  <si>
    <t>From 🎪 Live-ops G13 — win-rate weighted avg across all events</t>
  </si>
  <si>
    <t>GROSS DAILY INCOME</t>
  </si>
  <si>
    <t>Sink</t>
  </si>
  <si>
    <t>TOTAL DAILY SINKS</t>
  </si>
  <si>
    <t>⚖️  NET ECONOMY</t>
  </si>
  <si>
    <t>Video boost % of gross</t>
  </si>
  <si>
    <t>Live-ops % of gross</t>
  </si>
  <si>
    <t>Board Full drain %</t>
  </si>
  <si>
    <t>🔵 Blue = your inputs   |   Black = calculated   |   Avg Gold per Event = Max Reward × Win Rate</t>
  </si>
  <si>
    <t>Win Rate = % of participating players who earn the full/max reward for that event. Adjust per your analytics.</t>
  </si>
  <si>
    <t>Cadence
(days)</t>
  </si>
  <si>
    <t>Est. Win
Rate</t>
  </si>
  <si>
    <t>Monthly
Occurrences</t>
  </si>
  <si>
    <t>Win Rate Rationale</t>
  </si>
  <si>
    <t>Solo 25-stage collection event. Gold awarded at multiple milestone stages = max reward total. Low barrier, ~60% completion.</t>
  </si>
  <si>
    <t>TOTAL MONTHLY LIVE-OPS GOLD</t>
  </si>
  <si>
    <t>Daily avg gold from live-ops</t>
  </si>
  <si>
    <t>💡 Daily avg (G13) is automatically pulled into '💰 Daily Gold Flow' as the live-ops income line.</t>
  </si>
  <si>
    <t>Live-ops Event 1 (Key Collection)</t>
  </si>
  <si>
    <t>Live-ops Event 2 (Master Pass)</t>
  </si>
  <si>
    <t>Live-ops Event 3 (Win Streak)</t>
  </si>
  <si>
    <t>Live-ops Event 4 (Card Album)</t>
  </si>
  <si>
    <t xml:space="preserve">Live-ops Event 6 </t>
  </si>
  <si>
    <t xml:space="preserve">Live-ops Event 7 </t>
  </si>
  <si>
    <t>Live-ops Event 5 
(Stamp Card)</t>
  </si>
  <si>
    <t>Max Reward
(coin equivalent)</t>
  </si>
  <si>
    <t>Max Reward
(coin only)</t>
  </si>
  <si>
    <t>Avg Coin Equi
/ Event</t>
  </si>
  <si>
    <t>Avg Coin Only
/ Event</t>
  </si>
  <si>
    <t>Monthly
Coin Impact</t>
  </si>
  <si>
    <t>Yarn Fever – Live-ops Event Economy (Win-Rate Model)</t>
  </si>
  <si>
    <t>30-day pass. Has both coins rewards and boosters</t>
  </si>
  <si>
    <t>Solo stage-based event, 9 stages. Rewards awarded at milestone stages. ~55% of active players complete all stages.</t>
  </si>
  <si>
    <t>Monthly
Resource Impact</t>
  </si>
  <si>
    <t>Revive/Boosters purchases</t>
  </si>
  <si>
    <t>Card Album collection. Completing each set provides different rewards.</t>
  </si>
  <si>
    <t>Purchase rate (of triggers)</t>
  </si>
  <si>
    <t>% failed levels triggering</t>
  </si>
  <si>
    <t>Daily triggers</t>
  </si>
  <si>
    <t>Daily purchases</t>
  </si>
  <si>
    <t>Auto-calculated from Revives/boosters</t>
  </si>
  <si>
    <t>Gross income minus coin drain</t>
  </si>
  <si>
    <t>Level difficulty: bonus coin</t>
  </si>
  <si>
    <t>coin (SOFT CURRENCY) ECONOMY</t>
  </si>
  <si>
    <t>coin per level clear (base)</t>
  </si>
  <si>
    <t>coin earned for completing a level</t>
  </si>
  <si>
    <t>coin earned per social action</t>
  </si>
  <si>
    <t>coin rewarded for completing a social interaction (e.g. helping another player)</t>
  </si>
  <si>
    <t>Daily coin from levels</t>
  </si>
  <si>
    <t>Total daily coin income</t>
  </si>
  <si>
    <t>Daily coin lost to in-level purchases</t>
  </si>
  <si>
    <t>Net daily coin income</t>
  </si>
  <si>
    <t>REWARDED VIDEO — coin MULTIPLIER</t>
  </si>
  <si>
    <t>100% of base — watching doubles the coin earned per clear</t>
  </si>
  <si>
    <t>Daily coin from rewarded video</t>
  </si>
  <si>
    <t>Daily coin from levels (base)</t>
  </si>
  <si>
    <t>Revive/Boosters cost (coin)</t>
  </si>
  <si>
    <t>Daily coin lost to levels</t>
  </si>
  <si>
    <t>Net coin drained per day — sink</t>
  </si>
  <si>
    <t>Max coin Reward</t>
  </si>
  <si>
    <t>In-level boosters/revive purchase rate</t>
  </si>
  <si>
    <t>Est. share of failed levels</t>
  </si>
  <si>
    <t>Average cost of all boosters and revive</t>
  </si>
  <si>
    <t>Failed levels × Trigger rate</t>
  </si>
  <si>
    <t>Bonus from Hard/Super Difficulties</t>
  </si>
  <si>
    <t>Base coin × multiplier × watch rate x bonus from difficulties</t>
  </si>
  <si>
    <t>Coins
Spent (cum)</t>
  </si>
  <si>
    <t>Economy Simulation: Master Assumptions</t>
  </si>
  <si>
    <t>🔵 Assumptions from data</t>
  </si>
  <si>
    <t>Cumulative gold from all sources vs level sink. All values pull from ⚙️ Assumptions &amp; 🎪 Live-ops. Does not calculate the first free 600 coins</t>
  </si>
  <si>
    <t>Revive/Boosters — coin SINK</t>
  </si>
  <si>
    <t>% of near-fail sessions buying boosters</t>
  </si>
  <si>
    <t>Linked to purchase rate assumption</t>
  </si>
  <si>
    <t>Daily coin Flow Summary</t>
  </si>
  <si>
    <t>📥  DAILY coin INFLOWS</t>
  </si>
  <si>
    <t>Daily coin (Avg)</t>
  </si>
  <si>
    <t>Daily clears × coin per clear (B14)</t>
  </si>
  <si>
    <t>Daily clears × base coin × multiplier × watch rate</t>
  </si>
  <si>
    <t>📤  DAILY coin SINKS</t>
  </si>
  <si>
    <t>Daily coin Lost</t>
  </si>
  <si>
    <t>Net daily coin</t>
  </si>
  <si>
    <t>Net weekly coin</t>
  </si>
  <si>
    <t>Net monthly coin</t>
  </si>
  <si>
    <t>Failed levels × trigger % × purchase rate × boosters/revive cost</t>
  </si>
  <si>
    <t>Player Journey Simulation (per player, cumulative)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</si>
</sst>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0.0%"/>
  </numFmts>
  <fonts count="18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sz val="9"/>
      <color rgb="FF595959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sz val="10"/>
      <color rgb="FF7B0000"/>
      <name val="Arial"/>
      <charset val="1"/>
    </font>
    <font>
      <b/>
      <sz val="10"/>
      <color rgb="FF1F3864"/>
      <name val="Arial"/>
      <charset val="1"/>
    </font>
    <font>
      <b/>
      <sz val="10"/>
      <color rgb="FF000000"/>
      <name val="Arial"/>
      <charset val="1"/>
    </font>
    <font>
      <sz val="10"/>
      <name val="Arial"/>
      <charset val="1"/>
    </font>
    <font>
      <i/>
      <sz val="9"/>
      <color rgb="FF1F3864"/>
      <name val="Arial"/>
      <charset val="1"/>
    </font>
    <font>
      <b/>
      <sz val="10"/>
      <color rgb="FF000000"/>
      <name val="Arial"/>
      <family val="2"/>
    </font>
    <font>
      <sz val="9"/>
      <color rgb="FF595959"/>
      <name val="Arial"/>
      <family val="2"/>
    </font>
    <font>
      <b/>
      <sz val="11"/>
      <color rgb="FFFFFFFF"/>
      <name val="Arial"/>
      <family val="2"/>
    </font>
    <font>
      <sz val="10"/>
      <color rgb="FF030EED"/>
      <name val="Arial"/>
      <family val="2"/>
    </font>
    <font>
      <sz val="11"/>
      <color rgb="FF030EED"/>
      <name val="Calibri"/>
      <family val="2"/>
      <charset val="1"/>
    </font>
    <font>
      <b/>
      <sz val="13"/>
      <color rgb="FFFFFFFF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1F3864"/>
        <bgColor rgb="FF37562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EBF3FB"/>
      </patternFill>
    </fill>
    <fill>
      <patternFill patternType="solid">
        <fgColor rgb="FFFFF2CC"/>
        <bgColor rgb="FFFCE4D6"/>
      </patternFill>
    </fill>
    <fill>
      <patternFill patternType="solid">
        <fgColor rgb="FFEBF3FB"/>
        <bgColor rgb="FFDEEBF7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9EAD3"/>
      </patternFill>
    </fill>
    <fill>
      <patternFill patternType="solid">
        <fgColor rgb="FF5B2C8C"/>
        <bgColor rgb="FF7D3FC4"/>
      </patternFill>
    </fill>
    <fill>
      <patternFill patternType="solid">
        <fgColor rgb="FF7D3FC4"/>
        <bgColor rgb="FF5B2C8C"/>
      </patternFill>
    </fill>
    <fill>
      <patternFill patternType="solid">
        <fgColor rgb="FFEDE0F7"/>
        <bgColor rgb="FFE8D5F5"/>
      </patternFill>
    </fill>
    <fill>
      <patternFill patternType="solid">
        <fgColor rgb="FF7B2C2C"/>
        <bgColor rgb="FF993366"/>
      </patternFill>
    </fill>
    <fill>
      <patternFill patternType="solid">
        <fgColor rgb="FFC55A11"/>
        <bgColor rgb="FF993366"/>
      </patternFill>
    </fill>
    <fill>
      <patternFill patternType="solid">
        <fgColor rgb="FF375623"/>
        <bgColor rgb="FF1F6B42"/>
      </patternFill>
    </fill>
    <fill>
      <patternFill patternType="solid">
        <fgColor rgb="FF1F6B42"/>
        <bgColor rgb="FF375623"/>
      </patternFill>
    </fill>
    <fill>
      <patternFill patternType="solid">
        <fgColor rgb="FFD5F0E3"/>
        <bgColor rgb="FFD9EAD3"/>
      </patternFill>
    </fill>
    <fill>
      <patternFill patternType="solid">
        <fgColor rgb="FFDEEAF1"/>
        <bgColor rgb="FFDEEBF7"/>
      </patternFill>
    </fill>
    <fill>
      <patternFill patternType="solid">
        <fgColor rgb="FFDEEBF7"/>
        <bgColor rgb="FFDEEAF1"/>
      </patternFill>
    </fill>
    <fill>
      <patternFill patternType="solid">
        <fgColor rgb="FFE8D5F5"/>
        <bgColor rgb="FFEDE0F7"/>
      </patternFill>
    </fill>
    <fill>
      <patternFill patternType="solid">
        <fgColor rgb="FFD9EAD3"/>
        <bgColor rgb="FFE2EFDA"/>
      </patternFill>
    </fill>
    <fill>
      <patternFill patternType="solid">
        <fgColor rgb="FFF4CCCC"/>
        <bgColor rgb="FFE8D5F5"/>
      </patternFill>
    </fill>
    <fill>
      <patternFill patternType="solid">
        <fgColor theme="6" tint="0.39997558519241921"/>
        <bgColor rgb="FFD9EAD3"/>
      </patternFill>
    </fill>
    <fill>
      <patternFill patternType="solid">
        <fgColor theme="6" tint="0.39997558519241921"/>
        <bgColor rgb="FFDEEBF7"/>
      </patternFill>
    </fill>
    <fill>
      <patternFill patternType="solid">
        <fgColor theme="7" tint="0.79998168889431442"/>
        <bgColor rgb="FFEBF3FB"/>
      </patternFill>
    </fill>
    <fill>
      <patternFill patternType="solid">
        <fgColor theme="7" tint="0.79998168889431442"/>
        <bgColor rgb="FFFCE4D6"/>
      </patternFill>
    </fill>
  </fills>
  <borders count="6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0" xfId="0" applyAlignment="1"/>
    <xf numFmtId="0" fontId="3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9" fontId="6" fillId="5" borderId="2" xfId="0" applyNumberFormat="1" applyFont="1" applyFill="1" applyBorder="1" applyAlignment="1">
      <alignment horizontal="center" vertical="center" wrapText="1"/>
    </xf>
    <xf numFmtId="164" fontId="5" fillId="6" borderId="2" xfId="0" applyNumberFormat="1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left" vertical="center" wrapText="1"/>
    </xf>
    <xf numFmtId="164" fontId="7" fillId="7" borderId="2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164" fontId="9" fillId="8" borderId="2" xfId="0" applyNumberFormat="1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0" fillId="4" borderId="2" xfId="0" applyFill="1" applyBorder="1" applyAlignment="1"/>
    <xf numFmtId="0" fontId="4" fillId="10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2" fillId="11" borderId="2" xfId="0" applyFont="1" applyFill="1" applyBorder="1" applyAlignment="1">
      <alignment horizontal="left" vertical="center" wrapText="1"/>
    </xf>
    <xf numFmtId="164" fontId="5" fillId="11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/>
    <xf numFmtId="0" fontId="0" fillId="0" borderId="4" xfId="0" applyBorder="1" applyAlignment="1"/>
    <xf numFmtId="0" fontId="4" fillId="13" borderId="2" xfId="0" applyFont="1" applyFill="1" applyBorder="1" applyAlignment="1">
      <alignment horizontal="center" vertical="center" wrapText="1"/>
    </xf>
    <xf numFmtId="3" fontId="5" fillId="6" borderId="2" xfId="0" applyNumberFormat="1" applyFont="1" applyFill="1" applyBorder="1" applyAlignment="1">
      <alignment horizontal="center" vertical="center" wrapText="1"/>
    </xf>
    <xf numFmtId="3" fontId="6" fillId="5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165" fontId="9" fillId="8" borderId="2" xfId="0" applyNumberFormat="1" applyFont="1" applyFill="1" applyBorder="1" applyAlignment="1">
      <alignment horizontal="center" vertical="center" wrapText="1"/>
    </xf>
    <xf numFmtId="3" fontId="9" fillId="8" borderId="2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3" fontId="5" fillId="11" borderId="2" xfId="0" applyNumberFormat="1" applyFont="1" applyFill="1" applyBorder="1" applyAlignment="1">
      <alignment horizontal="center" vertical="center" wrapText="1"/>
    </xf>
    <xf numFmtId="3" fontId="5" fillId="16" borderId="2" xfId="0" applyNumberFormat="1" applyFont="1" applyFill="1" applyBorder="1" applyAlignment="1">
      <alignment horizontal="center" vertical="center" wrapText="1"/>
    </xf>
    <xf numFmtId="3" fontId="5" fillId="7" borderId="2" xfId="0" applyNumberFormat="1" applyFont="1" applyFill="1" applyBorder="1" applyAlignment="1">
      <alignment horizontal="center" vertical="center" wrapText="1"/>
    </xf>
    <xf numFmtId="3" fontId="9" fillId="6" borderId="2" xfId="0" applyNumberFormat="1" applyFont="1" applyFill="1" applyBorder="1" applyAlignment="1">
      <alignment horizontal="center" vertical="center" wrapText="1"/>
    </xf>
    <xf numFmtId="3" fontId="5" fillId="8" borderId="2" xfId="0" applyNumberFormat="1" applyFont="1" applyFill="1" applyBorder="1" applyAlignment="1">
      <alignment horizontal="center" vertical="center" wrapText="1"/>
    </xf>
    <xf numFmtId="166" fontId="5" fillId="6" borderId="2" xfId="0" applyNumberFormat="1" applyFont="1" applyFill="1" applyBorder="1" applyAlignment="1">
      <alignment horizontal="center" vertical="center" wrapText="1"/>
    </xf>
    <xf numFmtId="164" fontId="5" fillId="8" borderId="2" xfId="0" applyNumberFormat="1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left" vertical="center" wrapText="1"/>
    </xf>
    <xf numFmtId="0" fontId="0" fillId="8" borderId="2" xfId="0" applyFill="1" applyBorder="1" applyAlignment="1"/>
    <xf numFmtId="164" fontId="5" fillId="7" borderId="2" xfId="0" applyNumberFormat="1" applyFont="1" applyFill="1" applyBorder="1" applyAlignment="1">
      <alignment horizontal="center" vertical="center" wrapText="1"/>
    </xf>
    <xf numFmtId="166" fontId="5" fillId="7" borderId="2" xfId="0" applyNumberFormat="1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left" vertical="center" wrapText="1"/>
    </xf>
    <xf numFmtId="0" fontId="0" fillId="7" borderId="2" xfId="0" applyFill="1" applyBorder="1" applyAlignment="1"/>
    <xf numFmtId="164" fontId="9" fillId="7" borderId="2" xfId="0" applyNumberFormat="1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left" vertical="center" wrapText="1"/>
    </xf>
    <xf numFmtId="0" fontId="0" fillId="6" borderId="2" xfId="0" applyFill="1" applyBorder="1" applyAlignment="1"/>
    <xf numFmtId="0" fontId="9" fillId="18" borderId="2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9" fillId="19" borderId="2" xfId="0" applyFont="1" applyFill="1" applyBorder="1" applyAlignment="1">
      <alignment horizontal="left" vertical="center" wrapText="1"/>
    </xf>
    <xf numFmtId="0" fontId="2" fillId="19" borderId="2" xfId="0" applyFont="1" applyFill="1" applyBorder="1" applyAlignment="1">
      <alignment horizontal="left" vertical="center" wrapText="1"/>
    </xf>
    <xf numFmtId="0" fontId="9" fillId="20" borderId="2" xfId="0" applyFont="1" applyFill="1" applyBorder="1" applyAlignment="1">
      <alignment horizontal="left" vertical="center" wrapText="1"/>
    </xf>
    <xf numFmtId="0" fontId="2" fillId="20" borderId="2" xfId="0" applyFont="1" applyFill="1" applyBorder="1" applyAlignment="1">
      <alignment horizontal="left" vertical="center" wrapText="1"/>
    </xf>
    <xf numFmtId="0" fontId="9" fillId="21" borderId="2" xfId="0" applyFont="1" applyFill="1" applyBorder="1" applyAlignment="1">
      <alignment horizontal="left" vertical="center" wrapText="1"/>
    </xf>
    <xf numFmtId="0" fontId="2" fillId="21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left" vertical="center" wrapText="1"/>
    </xf>
    <xf numFmtId="164" fontId="9" fillId="6" borderId="2" xfId="0" applyNumberFormat="1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left" vertical="center" wrapText="1"/>
    </xf>
    <xf numFmtId="0" fontId="9" fillId="22" borderId="2" xfId="0" applyFont="1" applyFill="1" applyBorder="1" applyAlignment="1">
      <alignment horizontal="center" vertical="center" wrapText="1"/>
    </xf>
    <xf numFmtId="165" fontId="9" fillId="22" borderId="2" xfId="0" applyNumberFormat="1" applyFont="1" applyFill="1" applyBorder="1" applyAlignment="1">
      <alignment horizontal="center" vertical="center" wrapText="1"/>
    </xf>
    <xf numFmtId="3" fontId="9" fillId="22" borderId="2" xfId="0" applyNumberFormat="1" applyFont="1" applyFill="1" applyBorder="1" applyAlignment="1">
      <alignment horizontal="center" vertical="center" wrapText="1"/>
    </xf>
    <xf numFmtId="3" fontId="12" fillId="23" borderId="2" xfId="0" applyNumberFormat="1" applyFont="1" applyFill="1" applyBorder="1" applyAlignment="1">
      <alignment horizontal="center" vertical="center" wrapText="1"/>
    </xf>
    <xf numFmtId="0" fontId="10" fillId="24" borderId="2" xfId="0" applyFont="1" applyFill="1" applyBorder="1" applyAlignment="1">
      <alignment horizontal="left" vertical="center" wrapText="1"/>
    </xf>
    <xf numFmtId="0" fontId="6" fillId="25" borderId="2" xfId="0" applyFont="1" applyFill="1" applyBorder="1" applyAlignment="1">
      <alignment horizontal="center" vertical="center" wrapText="1"/>
    </xf>
    <xf numFmtId="3" fontId="6" fillId="25" borderId="2" xfId="0" applyNumberFormat="1" applyFont="1" applyFill="1" applyBorder="1" applyAlignment="1">
      <alignment horizontal="center" vertical="center" wrapText="1"/>
    </xf>
    <xf numFmtId="164" fontId="12" fillId="7" borderId="2" xfId="0" applyNumberFormat="1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 wrapText="1"/>
    </xf>
    <xf numFmtId="3" fontId="12" fillId="6" borderId="2" xfId="0" applyNumberFormat="1" applyFont="1" applyFill="1" applyBorder="1" applyAlignment="1">
      <alignment horizontal="center" vertical="center" wrapText="1"/>
    </xf>
    <xf numFmtId="3" fontId="12" fillId="8" borderId="2" xfId="0" applyNumberFormat="1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left" vertical="center" wrapText="1"/>
    </xf>
    <xf numFmtId="0" fontId="13" fillId="4" borderId="2" xfId="0" applyFont="1" applyFill="1" applyBorder="1" applyAlignment="1">
      <alignment horizontal="left" vertical="center"/>
    </xf>
    <xf numFmtId="1" fontId="15" fillId="5" borderId="2" xfId="0" applyNumberFormat="1" applyFont="1" applyFill="1" applyBorder="1" applyAlignment="1">
      <alignment horizontal="center" vertical="center" wrapText="1"/>
    </xf>
    <xf numFmtId="9" fontId="15" fillId="5" borderId="2" xfId="0" applyNumberFormat="1" applyFont="1" applyFill="1" applyBorder="1" applyAlignment="1">
      <alignment horizontal="center" vertical="center" wrapText="1"/>
    </xf>
    <xf numFmtId="9" fontId="15" fillId="6" borderId="2" xfId="0" applyNumberFormat="1" applyFont="1" applyFill="1" applyBorder="1" applyAlignment="1">
      <alignment horizontal="center" vertical="center"/>
    </xf>
    <xf numFmtId="3" fontId="15" fillId="6" borderId="2" xfId="0" applyNumberFormat="1" applyFont="1" applyFill="1" applyBorder="1" applyAlignment="1">
      <alignment horizontal="center" vertical="center" wrapText="1"/>
    </xf>
    <xf numFmtId="164" fontId="15" fillId="6" borderId="2" xfId="0" applyNumberFormat="1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 wrapText="1"/>
    </xf>
    <xf numFmtId="9" fontId="16" fillId="0" borderId="0" xfId="0" applyNumberFormat="1" applyFont="1" applyAlignment="1">
      <alignment horizontal="center"/>
    </xf>
    <xf numFmtId="0" fontId="3" fillId="9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/>
    <xf numFmtId="0" fontId="13" fillId="0" borderId="0" xfId="0" applyFont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2EFDA"/>
      <rgbColor rgb="FFFF00FF"/>
      <rgbColor rgb="FF00FFFF"/>
      <rgbColor rgb="FF7B0000"/>
      <rgbColor rgb="FF008000"/>
      <rgbColor rgb="FF000080"/>
      <rgbColor rgb="FF808000"/>
      <rgbColor rgb="FF800080"/>
      <rgbColor rgb="FF1F6B42"/>
      <rgbColor rgb="FFBFBFBF"/>
      <rgbColor rgb="FF808080"/>
      <rgbColor rgb="FF9999FF"/>
      <rgbColor rgb="FF7D3FC4"/>
      <rgbColor rgb="FFFFF2CC"/>
      <rgbColor rgb="FFDEEBF7"/>
      <rgbColor rgb="FF660066"/>
      <rgbColor rgb="FFFF8080"/>
      <rgbColor rgb="FF0066CC"/>
      <rgbColor rgb="FFE8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D5F0E3"/>
      <rgbColor rgb="FFFCE4D6"/>
      <rgbColor rgb="FFD9EAD3"/>
      <rgbColor rgb="FFEDE0F7"/>
      <rgbColor rgb="FFDEEAF1"/>
      <rgbColor rgb="FFF4CCCC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7B2C2C"/>
      <rgbColor rgb="FF993366"/>
      <rgbColor rgb="FF5B2C8C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30E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opLeftCell="A4" zoomScaleNormal="100" workbookViewId="0">
      <selection activeCell="F19" sqref="F19"/>
    </sheetView>
  </sheetViews>
  <sheetFormatPr defaultColWidth="8.7109375" defaultRowHeight="15" x14ac:dyDescent="0.25"/>
  <cols>
    <col min="1" max="1" width="36" style="1" customWidth="1"/>
    <col min="2" max="2" width="18" style="1" customWidth="1"/>
    <col min="3" max="3" width="48.140625" style="1" customWidth="1"/>
    <col min="5" max="5" width="8.7109375" customWidth="1"/>
    <col min="7" max="7" width="8.7109375" customWidth="1"/>
  </cols>
  <sheetData>
    <row r="1" spans="1:3" ht="16.5" x14ac:dyDescent="0.25">
      <c r="A1" s="87" t="s">
        <v>107</v>
      </c>
      <c r="B1" s="87"/>
      <c r="C1" s="87"/>
    </row>
    <row r="2" spans="1:3" x14ac:dyDescent="0.25">
      <c r="A2" s="88" t="s">
        <v>108</v>
      </c>
      <c r="B2" s="88"/>
      <c r="C2" s="88"/>
    </row>
    <row r="4" spans="1:3" x14ac:dyDescent="0.25">
      <c r="A4" s="89" t="s">
        <v>0</v>
      </c>
      <c r="B4" s="89"/>
      <c r="C4" s="89"/>
    </row>
    <row r="5" spans="1:3" x14ac:dyDescent="0.25">
      <c r="A5" s="3" t="s">
        <v>1</v>
      </c>
      <c r="B5" s="3" t="s">
        <v>2</v>
      </c>
      <c r="C5" s="3" t="s">
        <v>3</v>
      </c>
    </row>
    <row r="6" spans="1:3" x14ac:dyDescent="0.25">
      <c r="A6" s="4" t="s">
        <v>4</v>
      </c>
      <c r="B6" s="5">
        <v>2</v>
      </c>
      <c r="C6" s="6" t="s">
        <v>5</v>
      </c>
    </row>
    <row r="7" spans="1:3" x14ac:dyDescent="0.25">
      <c r="A7" s="4" t="s">
        <v>6</v>
      </c>
      <c r="B7" s="5">
        <v>2</v>
      </c>
      <c r="C7" s="6" t="s">
        <v>7</v>
      </c>
    </row>
    <row r="8" spans="1:3" x14ac:dyDescent="0.25">
      <c r="A8" s="4" t="s">
        <v>8</v>
      </c>
      <c r="B8" s="73">
        <f>B6*B7</f>
        <v>4</v>
      </c>
      <c r="C8" s="6" t="s">
        <v>9</v>
      </c>
    </row>
    <row r="9" spans="1:3" x14ac:dyDescent="0.25">
      <c r="A9" s="4" t="s">
        <v>10</v>
      </c>
      <c r="B9" s="8">
        <v>0.6</v>
      </c>
      <c r="C9" s="6" t="s">
        <v>11</v>
      </c>
    </row>
    <row r="10" spans="1:3" x14ac:dyDescent="0.25">
      <c r="A10" s="4" t="s">
        <v>100</v>
      </c>
      <c r="B10" s="8">
        <v>0.1</v>
      </c>
      <c r="C10" s="77" t="s">
        <v>111</v>
      </c>
    </row>
    <row r="11" spans="1:3" x14ac:dyDescent="0.25">
      <c r="A11" s="63" t="s">
        <v>82</v>
      </c>
      <c r="B11" s="85">
        <v>1.5</v>
      </c>
      <c r="C11" s="64" t="s">
        <v>104</v>
      </c>
    </row>
    <row r="12" spans="1:3" x14ac:dyDescent="0.25">
      <c r="A12" s="90" t="s">
        <v>83</v>
      </c>
      <c r="B12" s="89"/>
      <c r="C12" s="89"/>
    </row>
    <row r="13" spans="1:3" x14ac:dyDescent="0.25">
      <c r="A13" s="3" t="s">
        <v>1</v>
      </c>
      <c r="B13" s="3" t="s">
        <v>2</v>
      </c>
      <c r="C13" s="3" t="s">
        <v>3</v>
      </c>
    </row>
    <row r="14" spans="1:3" x14ac:dyDescent="0.25">
      <c r="A14" s="4" t="s">
        <v>84</v>
      </c>
      <c r="B14" s="84">
        <v>20</v>
      </c>
      <c r="C14" s="6" t="s">
        <v>85</v>
      </c>
    </row>
    <row r="15" spans="1:3" ht="24" x14ac:dyDescent="0.25">
      <c r="A15" s="4" t="s">
        <v>86</v>
      </c>
      <c r="B15" s="84">
        <v>0</v>
      </c>
      <c r="C15" s="6" t="s">
        <v>87</v>
      </c>
    </row>
    <row r="16" spans="1:3" x14ac:dyDescent="0.25">
      <c r="A16" s="4" t="s">
        <v>88</v>
      </c>
      <c r="B16" s="7">
        <f>B8*B14*B11</f>
        <v>120</v>
      </c>
      <c r="C16" s="6" t="s">
        <v>12</v>
      </c>
    </row>
    <row r="17" spans="1:3" x14ac:dyDescent="0.25">
      <c r="A17" s="4" t="s">
        <v>89</v>
      </c>
      <c r="B17" s="9">
        <f>B27+B26+'🎪 Live-ops Calendar'!J13</f>
        <v>356.95</v>
      </c>
      <c r="C17" s="6" t="s">
        <v>13</v>
      </c>
    </row>
    <row r="18" spans="1:3" x14ac:dyDescent="0.25">
      <c r="A18" s="10" t="s">
        <v>90</v>
      </c>
      <c r="B18" s="11">
        <f>B38</f>
        <v>92</v>
      </c>
      <c r="C18" s="12" t="s">
        <v>80</v>
      </c>
    </row>
    <row r="19" spans="1:3" x14ac:dyDescent="0.25">
      <c r="A19" s="13" t="s">
        <v>91</v>
      </c>
      <c r="B19" s="14">
        <f>B17-B18</f>
        <v>264.95</v>
      </c>
      <c r="C19" s="15" t="s">
        <v>81</v>
      </c>
    </row>
    <row r="20" spans="1:3" x14ac:dyDescent="0.25">
      <c r="A20" s="91"/>
      <c r="B20" s="91"/>
      <c r="C20" s="91"/>
    </row>
    <row r="21" spans="1:3" x14ac:dyDescent="0.25">
      <c r="A21" s="86" t="s">
        <v>92</v>
      </c>
      <c r="B21" s="86"/>
      <c r="C21" s="86"/>
    </row>
    <row r="22" spans="1:3" x14ac:dyDescent="0.25">
      <c r="A22" s="17" t="s">
        <v>1</v>
      </c>
      <c r="B22" s="17" t="s">
        <v>2</v>
      </c>
      <c r="C22" s="17" t="s">
        <v>3</v>
      </c>
    </row>
    <row r="23" spans="1:3" ht="24" x14ac:dyDescent="0.25">
      <c r="A23" s="18" t="s">
        <v>14</v>
      </c>
      <c r="B23" s="8">
        <v>3</v>
      </c>
      <c r="C23" s="19" t="s">
        <v>93</v>
      </c>
    </row>
    <row r="24" spans="1:3" x14ac:dyDescent="0.25">
      <c r="A24" s="18" t="s">
        <v>15</v>
      </c>
      <c r="B24" s="8">
        <v>0.25</v>
      </c>
      <c r="C24" s="19" t="s">
        <v>16</v>
      </c>
    </row>
    <row r="25" spans="1:3" x14ac:dyDescent="0.25">
      <c r="A25" s="18" t="s">
        <v>17</v>
      </c>
      <c r="B25" s="20">
        <f>B14*B23*B24*B11</f>
        <v>22.5</v>
      </c>
      <c r="C25" s="19" t="s">
        <v>105</v>
      </c>
    </row>
    <row r="26" spans="1:3" x14ac:dyDescent="0.25">
      <c r="A26" s="18" t="s">
        <v>94</v>
      </c>
      <c r="B26" s="20">
        <f>B8*B25</f>
        <v>90</v>
      </c>
      <c r="C26" s="19" t="s">
        <v>18</v>
      </c>
    </row>
    <row r="27" spans="1:3" x14ac:dyDescent="0.25">
      <c r="A27" s="18" t="s">
        <v>95</v>
      </c>
      <c r="B27" s="20">
        <f>B8*B14*B11</f>
        <v>120</v>
      </c>
      <c r="C27" s="19" t="s">
        <v>19</v>
      </c>
    </row>
    <row r="28" spans="1:3" x14ac:dyDescent="0.25">
      <c r="A28" s="16"/>
      <c r="B28" s="21"/>
      <c r="C28" s="22"/>
    </row>
    <row r="29" spans="1:3" x14ac:dyDescent="0.25">
      <c r="A29" s="76" t="s">
        <v>110</v>
      </c>
      <c r="B29" s="21"/>
      <c r="C29" s="21"/>
    </row>
    <row r="30" spans="1:3" x14ac:dyDescent="0.25">
      <c r="A30" s="23" t="s">
        <v>1</v>
      </c>
      <c r="B30" s="23" t="s">
        <v>2</v>
      </c>
      <c r="C30" s="23" t="s">
        <v>3</v>
      </c>
    </row>
    <row r="31" spans="1:3" x14ac:dyDescent="0.25">
      <c r="A31" s="4" t="s">
        <v>96</v>
      </c>
      <c r="B31" s="79">
        <f>AVERAGE(120,160,240,400)</f>
        <v>230</v>
      </c>
      <c r="C31" s="6" t="s">
        <v>102</v>
      </c>
    </row>
    <row r="32" spans="1:3" x14ac:dyDescent="0.25">
      <c r="A32" s="4" t="s">
        <v>77</v>
      </c>
      <c r="B32" s="80">
        <v>1</v>
      </c>
      <c r="C32" s="6" t="s">
        <v>101</v>
      </c>
    </row>
    <row r="33" spans="1:3" x14ac:dyDescent="0.25">
      <c r="A33" s="4" t="s">
        <v>76</v>
      </c>
      <c r="B33" s="81">
        <v>0.1</v>
      </c>
      <c r="C33" s="78" t="s">
        <v>112</v>
      </c>
    </row>
    <row r="34" spans="1:3" x14ac:dyDescent="0.25">
      <c r="A34" s="4" t="s">
        <v>20</v>
      </c>
      <c r="B34" s="82">
        <f>B8</f>
        <v>4</v>
      </c>
      <c r="C34" s="6" t="s">
        <v>21</v>
      </c>
    </row>
    <row r="35" spans="1:3" x14ac:dyDescent="0.25">
      <c r="A35" s="4" t="s">
        <v>22</v>
      </c>
      <c r="B35" s="83">
        <f>B34*(1-B9)</f>
        <v>1.6</v>
      </c>
      <c r="C35" s="77" t="s">
        <v>23</v>
      </c>
    </row>
    <row r="36" spans="1:3" x14ac:dyDescent="0.25">
      <c r="A36" s="4" t="s">
        <v>78</v>
      </c>
      <c r="B36" s="83">
        <f>B8</f>
        <v>4</v>
      </c>
      <c r="C36" s="6" t="s">
        <v>103</v>
      </c>
    </row>
    <row r="37" spans="1:3" x14ac:dyDescent="0.25">
      <c r="A37" s="4" t="s">
        <v>79</v>
      </c>
      <c r="B37" s="83">
        <f>B36*B33</f>
        <v>0.4</v>
      </c>
      <c r="C37" s="6" t="s">
        <v>24</v>
      </c>
    </row>
    <row r="38" spans="1:3" x14ac:dyDescent="0.25">
      <c r="A38" s="4" t="s">
        <v>97</v>
      </c>
      <c r="B38" s="72">
        <f>B37*B31</f>
        <v>92</v>
      </c>
      <c r="C38" s="6" t="s">
        <v>98</v>
      </c>
    </row>
    <row r="39" spans="1:3" x14ac:dyDescent="0.25">
      <c r="A39" s="2" t="s">
        <v>25</v>
      </c>
      <c r="B39" s="21"/>
      <c r="C39" s="21"/>
    </row>
    <row r="40" spans="1:3" x14ac:dyDescent="0.25">
      <c r="A40" s="3" t="s">
        <v>26</v>
      </c>
      <c r="B40" s="3" t="s">
        <v>27</v>
      </c>
      <c r="C40" s="3" t="s">
        <v>99</v>
      </c>
    </row>
    <row r="41" spans="1:3" x14ac:dyDescent="0.25">
      <c r="A41" s="69" t="s">
        <v>58</v>
      </c>
      <c r="B41" s="70">
        <v>4</v>
      </c>
      <c r="C41" s="71">
        <v>1400</v>
      </c>
    </row>
    <row r="42" spans="1:3" x14ac:dyDescent="0.25">
      <c r="A42" s="69" t="s">
        <v>59</v>
      </c>
      <c r="B42" s="70">
        <v>30</v>
      </c>
      <c r="C42" s="71">
        <v>480</v>
      </c>
    </row>
    <row r="43" spans="1:3" x14ac:dyDescent="0.25">
      <c r="A43" s="69" t="s">
        <v>60</v>
      </c>
      <c r="B43" s="70">
        <v>3</v>
      </c>
      <c r="C43" s="71">
        <v>420</v>
      </c>
    </row>
    <row r="44" spans="1:3" x14ac:dyDescent="0.25">
      <c r="A44" s="69" t="s">
        <v>61</v>
      </c>
      <c r="B44" s="70">
        <v>30</v>
      </c>
      <c r="C44" s="71">
        <v>6250</v>
      </c>
    </row>
    <row r="45" spans="1:3" x14ac:dyDescent="0.25">
      <c r="A45" s="69"/>
      <c r="B45" s="70"/>
      <c r="C45" s="71"/>
    </row>
    <row r="46" spans="1:3" x14ac:dyDescent="0.25">
      <c r="A46" s="69"/>
      <c r="B46" s="70"/>
      <c r="C46" s="71"/>
    </row>
    <row r="47" spans="1:3" x14ac:dyDescent="0.25">
      <c r="A47" s="69"/>
      <c r="B47" s="70"/>
      <c r="C47" s="71"/>
    </row>
  </sheetData>
  <mergeCells count="6">
    <mergeCell ref="A21:C21"/>
    <mergeCell ref="A1:C1"/>
    <mergeCell ref="A2:C2"/>
    <mergeCell ref="A4:C4"/>
    <mergeCell ref="A12:C12"/>
    <mergeCell ref="A20:C20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1"/>
  <sheetViews>
    <sheetView tabSelected="1" zoomScaleNormal="100" workbookViewId="0">
      <selection activeCell="P16" sqref="P15:P16"/>
    </sheetView>
  </sheetViews>
  <sheetFormatPr defaultColWidth="8.7109375" defaultRowHeight="15" x14ac:dyDescent="0.25"/>
  <cols>
    <col min="1" max="1" width="10" style="1" customWidth="1"/>
    <col min="2" max="2" width="13" style="1" customWidth="1"/>
    <col min="3" max="6" width="18" style="1" customWidth="1"/>
    <col min="7" max="7" width="16" style="1" customWidth="1"/>
  </cols>
  <sheetData>
    <row r="1" spans="1:7" ht="16.5" x14ac:dyDescent="0.25">
      <c r="A1" s="87" t="s">
        <v>124</v>
      </c>
      <c r="B1" s="87"/>
      <c r="C1" s="87"/>
      <c r="D1" s="87"/>
      <c r="E1" s="87"/>
    </row>
    <row r="2" spans="1:7" ht="15" customHeight="1" x14ac:dyDescent="0.25">
      <c r="A2" s="92" t="s">
        <v>109</v>
      </c>
      <c r="B2" s="88"/>
      <c r="C2" s="88"/>
      <c r="D2" s="88"/>
      <c r="E2" s="88"/>
      <c r="F2" s="88"/>
      <c r="G2" s="88"/>
    </row>
    <row r="3" spans="1:7" ht="36" customHeight="1" x14ac:dyDescent="0.25">
      <c r="A3" s="26" t="s">
        <v>28</v>
      </c>
      <c r="B3" s="3" t="s">
        <v>29</v>
      </c>
      <c r="C3" s="27" t="s">
        <v>30</v>
      </c>
      <c r="D3" s="28" t="s">
        <v>31</v>
      </c>
      <c r="E3" s="29" t="s">
        <v>32</v>
      </c>
      <c r="F3" s="30" t="s">
        <v>106</v>
      </c>
      <c r="G3" s="3" t="s">
        <v>33</v>
      </c>
    </row>
    <row r="4" spans="1:7" ht="15" customHeight="1" x14ac:dyDescent="0.25">
      <c r="A4" s="31">
        <v>1</v>
      </c>
      <c r="B4" s="32">
        <f>ROUND(1/'⚙️ Assumptions'!B8,1)</f>
        <v>0.3</v>
      </c>
      <c r="C4" s="33">
        <v>20</v>
      </c>
      <c r="D4" s="33">
        <f>ROUND(1*'⚙️ Assumptions'!B25,0)</f>
        <v>23</v>
      </c>
      <c r="E4" s="33">
        <f>ROUND((1/'⚙️ Assumptions'!B8)*'🎪 Live-ops Calendar'!J13,0)</f>
        <v>37</v>
      </c>
      <c r="F4" s="33">
        <f>ROUND((1/'⚙️ Assumptions'!B8)*'⚙️ Assumptions'!B38,0)</f>
        <v>23</v>
      </c>
      <c r="G4" s="33">
        <f t="shared" ref="G4:G35" si="0">C4+D4+E4-F4</f>
        <v>57</v>
      </c>
    </row>
    <row r="5" spans="1:7" ht="15" customHeight="1" x14ac:dyDescent="0.25">
      <c r="A5" s="34">
        <v>2</v>
      </c>
      <c r="B5" s="35">
        <f>ROUND(2/'⚙️ Assumptions'!B8,1)</f>
        <v>0.5</v>
      </c>
      <c r="C5" s="24">
        <v>40</v>
      </c>
      <c r="D5" s="36">
        <f>ROUND(2*'⚙️ Assumptions'!B25,0)</f>
        <v>45</v>
      </c>
      <c r="E5" s="37">
        <f>ROUND((2/'⚙️ Assumptions'!B8)*'🎪 Live-ops Calendar'!J13,0)</f>
        <v>73</v>
      </c>
      <c r="F5" s="38">
        <f>ROUND((2/'⚙️ Assumptions'!B8)*'⚙️ Assumptions'!B38,0)</f>
        <v>46</v>
      </c>
      <c r="G5" s="39">
        <f t="shared" si="0"/>
        <v>112</v>
      </c>
    </row>
    <row r="6" spans="1:7" ht="15" customHeight="1" x14ac:dyDescent="0.25">
      <c r="A6" s="34">
        <v>3</v>
      </c>
      <c r="B6" s="35">
        <f>ROUND(3/'⚙️ Assumptions'!B8,1)</f>
        <v>0.8</v>
      </c>
      <c r="C6" s="24">
        <v>60</v>
      </c>
      <c r="D6" s="36">
        <f>ROUND(3*'⚙️ Assumptions'!B25,0)</f>
        <v>68</v>
      </c>
      <c r="E6" s="37">
        <f>ROUND((3/'⚙️ Assumptions'!B8)*'🎪 Live-ops Calendar'!J13,0)</f>
        <v>110</v>
      </c>
      <c r="F6" s="38">
        <f>ROUND((3/'⚙️ Assumptions'!B8)*'⚙️ Assumptions'!B38,0)</f>
        <v>69</v>
      </c>
      <c r="G6" s="39">
        <f t="shared" si="0"/>
        <v>169</v>
      </c>
    </row>
    <row r="7" spans="1:7" ht="15" customHeight="1" x14ac:dyDescent="0.25">
      <c r="A7" s="34">
        <v>4</v>
      </c>
      <c r="B7" s="35">
        <f>ROUND(4/'⚙️ Assumptions'!B8,1)</f>
        <v>1</v>
      </c>
      <c r="C7" s="24">
        <v>100</v>
      </c>
      <c r="D7" s="36">
        <f>ROUND(4*'⚙️ Assumptions'!B25,0)</f>
        <v>90</v>
      </c>
      <c r="E7" s="37">
        <f>ROUND((4/'⚙️ Assumptions'!B8)*'🎪 Live-ops Calendar'!J13,0)</f>
        <v>147</v>
      </c>
      <c r="F7" s="38">
        <f>ROUND((4/'⚙️ Assumptions'!B8)*'⚙️ Assumptions'!B38,0)</f>
        <v>92</v>
      </c>
      <c r="G7" s="39">
        <f t="shared" si="0"/>
        <v>245</v>
      </c>
    </row>
    <row r="8" spans="1:7" ht="15" customHeight="1" x14ac:dyDescent="0.25">
      <c r="A8" s="31">
        <v>5</v>
      </c>
      <c r="B8" s="32">
        <f>ROUND(5/'⚙️ Assumptions'!B8,1)</f>
        <v>1.3</v>
      </c>
      <c r="C8" s="33">
        <f>5*'⚙️ Assumptions'!B14*'⚙️ Assumptions'!B11</f>
        <v>150</v>
      </c>
      <c r="D8" s="33">
        <f>ROUND(5*'⚙️ Assumptions'!B25,0)</f>
        <v>113</v>
      </c>
      <c r="E8" s="33">
        <f>ROUND((5/'⚙️ Assumptions'!B8)*'🎪 Live-ops Calendar'!J13,0)</f>
        <v>184</v>
      </c>
      <c r="F8" s="33">
        <f>ROUND((5/'⚙️ Assumptions'!B8)*'⚙️ Assumptions'!B38,0)</f>
        <v>115</v>
      </c>
      <c r="G8" s="33">
        <f t="shared" si="0"/>
        <v>332</v>
      </c>
    </row>
    <row r="9" spans="1:7" ht="15" customHeight="1" x14ac:dyDescent="0.25">
      <c r="A9" s="34">
        <v>8</v>
      </c>
      <c r="B9" s="35">
        <f>ROUND(8/'⚙️ Assumptions'!B8,1)</f>
        <v>2</v>
      </c>
      <c r="C9" s="24">
        <f>8*'⚙️ Assumptions'!B14*'⚙️ Assumptions'!B11</f>
        <v>240</v>
      </c>
      <c r="D9" s="36">
        <f>ROUND(8*'⚙️ Assumptions'!B25,0)</f>
        <v>180</v>
      </c>
      <c r="E9" s="37">
        <f>ROUND((8/'⚙️ Assumptions'!B8)*'🎪 Live-ops Calendar'!J13,0)</f>
        <v>294</v>
      </c>
      <c r="F9" s="38">
        <f>ROUND((8/'⚙️ Assumptions'!B8)*'⚙️ Assumptions'!B38,0)</f>
        <v>184</v>
      </c>
      <c r="G9" s="39">
        <f t="shared" si="0"/>
        <v>530</v>
      </c>
    </row>
    <row r="10" spans="1:7" ht="15" customHeight="1" x14ac:dyDescent="0.25">
      <c r="A10" s="31">
        <v>10</v>
      </c>
      <c r="B10" s="32">
        <f>ROUND(10/'⚙️ Assumptions'!B8,1)</f>
        <v>2.5</v>
      </c>
      <c r="C10" s="33">
        <f>10*'⚙️ Assumptions'!B14*'⚙️ Assumptions'!B11</f>
        <v>300</v>
      </c>
      <c r="D10" s="33">
        <f>ROUND(10*'⚙️ Assumptions'!B25,0)</f>
        <v>225</v>
      </c>
      <c r="E10" s="33">
        <f>ROUND((10/'⚙️ Assumptions'!B8)*'🎪 Live-ops Calendar'!J13,0)</f>
        <v>367</v>
      </c>
      <c r="F10" s="33">
        <f>ROUND((10/'⚙️ Assumptions'!B8)*'⚙️ Assumptions'!B38,0)</f>
        <v>230</v>
      </c>
      <c r="G10" s="33">
        <f t="shared" si="0"/>
        <v>662</v>
      </c>
    </row>
    <row r="11" spans="1:7" ht="15" customHeight="1" x14ac:dyDescent="0.25">
      <c r="A11" s="34">
        <v>15</v>
      </c>
      <c r="B11" s="35">
        <f>ROUND(15/'⚙️ Assumptions'!B8,1)</f>
        <v>3.8</v>
      </c>
      <c r="C11" s="24">
        <f>15*'⚙️ Assumptions'!B14*'⚙️ Assumptions'!B11</f>
        <v>450</v>
      </c>
      <c r="D11" s="36">
        <f>ROUND(15*'⚙️ Assumptions'!B25,0)</f>
        <v>338</v>
      </c>
      <c r="E11" s="37">
        <f>ROUND((15/'⚙️ Assumptions'!B8)*'🎪 Live-ops Calendar'!J13,0)</f>
        <v>551</v>
      </c>
      <c r="F11" s="38">
        <f>ROUND((15/'⚙️ Assumptions'!B8)*'⚙️ Assumptions'!B38,0)</f>
        <v>345</v>
      </c>
      <c r="G11" s="39">
        <f t="shared" si="0"/>
        <v>994</v>
      </c>
    </row>
    <row r="12" spans="1:7" ht="15" customHeight="1" x14ac:dyDescent="0.25">
      <c r="A12" s="31">
        <v>20</v>
      </c>
      <c r="B12" s="32">
        <f>ROUND(20/'⚙️ Assumptions'!B8,1)</f>
        <v>5</v>
      </c>
      <c r="C12" s="33">
        <f>20*'⚙️ Assumptions'!B14*'⚙️ Assumptions'!B11</f>
        <v>600</v>
      </c>
      <c r="D12" s="33">
        <f>ROUND(20*'⚙️ Assumptions'!B25,0)</f>
        <v>450</v>
      </c>
      <c r="E12" s="33">
        <f>ROUND((20/'⚙️ Assumptions'!B8)*'🎪 Live-ops Calendar'!J13,0)</f>
        <v>735</v>
      </c>
      <c r="F12" s="33">
        <f>ROUND((20/'⚙️ Assumptions'!B8)*'⚙️ Assumptions'!B38,0)</f>
        <v>460</v>
      </c>
      <c r="G12" s="33">
        <f t="shared" si="0"/>
        <v>1325</v>
      </c>
    </row>
    <row r="13" spans="1:7" ht="15" customHeight="1" x14ac:dyDescent="0.25">
      <c r="A13" s="34">
        <v>25</v>
      </c>
      <c r="B13" s="35">
        <f>ROUND(25/'⚙️ Assumptions'!B8,1)</f>
        <v>6.3</v>
      </c>
      <c r="C13" s="24">
        <f>25*'⚙️ Assumptions'!B14*'⚙️ Assumptions'!B11</f>
        <v>750</v>
      </c>
      <c r="D13" s="36">
        <f>ROUND(25*'⚙️ Assumptions'!B25,0)</f>
        <v>563</v>
      </c>
      <c r="E13" s="37">
        <f>ROUND((25/'⚙️ Assumptions'!B8)*'🎪 Live-ops Calendar'!J13,0)</f>
        <v>918</v>
      </c>
      <c r="F13" s="38">
        <f>ROUND((25/'⚙️ Assumptions'!B8)*'⚙️ Assumptions'!B38,0)</f>
        <v>575</v>
      </c>
      <c r="G13" s="39">
        <f t="shared" si="0"/>
        <v>1656</v>
      </c>
    </row>
    <row r="14" spans="1:7" ht="15" customHeight="1" x14ac:dyDescent="0.25">
      <c r="A14" s="31">
        <v>30</v>
      </c>
      <c r="B14" s="32">
        <f>ROUND(30/'⚙️ Assumptions'!B8,1)</f>
        <v>7.5</v>
      </c>
      <c r="C14" s="33">
        <f>30*'⚙️ Assumptions'!B14*'⚙️ Assumptions'!B11</f>
        <v>900</v>
      </c>
      <c r="D14" s="33">
        <f>ROUND(30*'⚙️ Assumptions'!B25,0)</f>
        <v>675</v>
      </c>
      <c r="E14" s="33">
        <f>ROUND((30/'⚙️ Assumptions'!B8)*'🎪 Live-ops Calendar'!J13,0)</f>
        <v>1102</v>
      </c>
      <c r="F14" s="33">
        <f>ROUND((30/'⚙️ Assumptions'!B8)*'⚙️ Assumptions'!B38,0)</f>
        <v>690</v>
      </c>
      <c r="G14" s="33">
        <f t="shared" si="0"/>
        <v>1987</v>
      </c>
    </row>
    <row r="15" spans="1:7" ht="15" customHeight="1" x14ac:dyDescent="0.25">
      <c r="A15" s="34">
        <v>40</v>
      </c>
      <c r="B15" s="35">
        <f>ROUND(40/'⚙️ Assumptions'!B8,1)</f>
        <v>10</v>
      </c>
      <c r="C15" s="24">
        <f>40*'⚙️ Assumptions'!B14*'⚙️ Assumptions'!B11</f>
        <v>1200</v>
      </c>
      <c r="D15" s="36">
        <f>ROUND(40*'⚙️ Assumptions'!B25,0)</f>
        <v>900</v>
      </c>
      <c r="E15" s="37">
        <f>ROUND((40/'⚙️ Assumptions'!B8)*'🎪 Live-ops Calendar'!J13,0)</f>
        <v>1470</v>
      </c>
      <c r="F15" s="38">
        <f>ROUND((40/'⚙️ Assumptions'!B8)*'⚙️ Assumptions'!B38,0)</f>
        <v>920</v>
      </c>
      <c r="G15" s="39">
        <f t="shared" si="0"/>
        <v>2650</v>
      </c>
    </row>
    <row r="16" spans="1:7" ht="15" customHeight="1" x14ac:dyDescent="0.25">
      <c r="A16" s="31">
        <v>50</v>
      </c>
      <c r="B16" s="32">
        <f>ROUND(50/'⚙️ Assumptions'!B8,1)</f>
        <v>12.5</v>
      </c>
      <c r="C16" s="33">
        <f>50*'⚙️ Assumptions'!B14*'⚙️ Assumptions'!B11</f>
        <v>1500</v>
      </c>
      <c r="D16" s="33">
        <f>ROUND(50*'⚙️ Assumptions'!B25,0)</f>
        <v>1125</v>
      </c>
      <c r="E16" s="33">
        <f>ROUND((50/'⚙️ Assumptions'!B8)*'🎪 Live-ops Calendar'!J13,0)</f>
        <v>1837</v>
      </c>
      <c r="F16" s="33">
        <f>ROUND((50/'⚙️ Assumptions'!B8)*'⚙️ Assumptions'!B38,0)</f>
        <v>1150</v>
      </c>
      <c r="G16" s="33">
        <f t="shared" si="0"/>
        <v>3312</v>
      </c>
    </row>
    <row r="17" spans="1:7" ht="15" customHeight="1" x14ac:dyDescent="0.25">
      <c r="A17" s="34">
        <v>60</v>
      </c>
      <c r="B17" s="35">
        <f>ROUND(60/'⚙️ Assumptions'!B8,1)</f>
        <v>15</v>
      </c>
      <c r="C17" s="24">
        <f>60*'⚙️ Assumptions'!B14*'⚙️ Assumptions'!B11</f>
        <v>1800</v>
      </c>
      <c r="D17" s="36">
        <f>ROUND(60*'⚙️ Assumptions'!B25,0)</f>
        <v>1350</v>
      </c>
      <c r="E17" s="37">
        <f>ROUND((60/'⚙️ Assumptions'!B8)*'🎪 Live-ops Calendar'!J13,0)</f>
        <v>2204</v>
      </c>
      <c r="F17" s="38">
        <f>ROUND((60/'⚙️ Assumptions'!B8)*'⚙️ Assumptions'!B38,0)</f>
        <v>1380</v>
      </c>
      <c r="G17" s="39">
        <f t="shared" si="0"/>
        <v>3974</v>
      </c>
    </row>
    <row r="18" spans="1:7" ht="15" customHeight="1" x14ac:dyDescent="0.25">
      <c r="A18" s="31">
        <v>75</v>
      </c>
      <c r="B18" s="32">
        <f>ROUND(75/'⚙️ Assumptions'!B8,1)</f>
        <v>18.8</v>
      </c>
      <c r="C18" s="33">
        <f>75*'⚙️ Assumptions'!B14*'⚙️ Assumptions'!B11</f>
        <v>2250</v>
      </c>
      <c r="D18" s="33">
        <f>ROUND(75*'⚙️ Assumptions'!B25,0)</f>
        <v>1688</v>
      </c>
      <c r="E18" s="33">
        <f>ROUND((75/'⚙️ Assumptions'!B8)*'🎪 Live-ops Calendar'!J13,0)</f>
        <v>2755</v>
      </c>
      <c r="F18" s="33">
        <f>ROUND((75/'⚙️ Assumptions'!B8)*'⚙️ Assumptions'!B38,0)</f>
        <v>1725</v>
      </c>
      <c r="G18" s="33">
        <f t="shared" si="0"/>
        <v>4968</v>
      </c>
    </row>
    <row r="19" spans="1:7" ht="15" customHeight="1" x14ac:dyDescent="0.25">
      <c r="A19" s="31">
        <v>100</v>
      </c>
      <c r="B19" s="32">
        <f>ROUND(100/'⚙️ Assumptions'!B8,1)</f>
        <v>25</v>
      </c>
      <c r="C19" s="33">
        <f>100*'⚙️ Assumptions'!B14*'⚙️ Assumptions'!B11</f>
        <v>3000</v>
      </c>
      <c r="D19" s="33">
        <f>ROUND(100*'⚙️ Assumptions'!B25,0)</f>
        <v>2250</v>
      </c>
      <c r="E19" s="33">
        <f>ROUND((100/'⚙️ Assumptions'!B8)*'🎪 Live-ops Calendar'!J13,0)</f>
        <v>3674</v>
      </c>
      <c r="F19" s="33">
        <f>ROUND((100/'⚙️ Assumptions'!B8)*'⚙️ Assumptions'!B38,0)</f>
        <v>2300</v>
      </c>
      <c r="G19" s="33">
        <f t="shared" si="0"/>
        <v>6624</v>
      </c>
    </row>
    <row r="20" spans="1:7" ht="15" customHeight="1" x14ac:dyDescent="0.25">
      <c r="A20" s="34">
        <v>125</v>
      </c>
      <c r="B20" s="35">
        <f>ROUND(125/'⚙️ Assumptions'!B8,1)</f>
        <v>31.3</v>
      </c>
      <c r="C20" s="24">
        <f>125*'⚙️ Assumptions'!B14*'⚙️ Assumptions'!B11</f>
        <v>3750</v>
      </c>
      <c r="D20" s="36">
        <f>ROUND(125*'⚙️ Assumptions'!B25,0)</f>
        <v>2813</v>
      </c>
      <c r="E20" s="37">
        <f>ROUND((125/'⚙️ Assumptions'!B8)*'🎪 Live-ops Calendar'!J13,0)</f>
        <v>4592</v>
      </c>
      <c r="F20" s="38">
        <f>ROUND((125/'⚙️ Assumptions'!B8)*'⚙️ Assumptions'!B38,0)</f>
        <v>2875</v>
      </c>
      <c r="G20" s="39">
        <f t="shared" si="0"/>
        <v>8280</v>
      </c>
    </row>
    <row r="21" spans="1:7" ht="15" customHeight="1" x14ac:dyDescent="0.25">
      <c r="A21" s="31">
        <v>150</v>
      </c>
      <c r="B21" s="32">
        <f>ROUND(150/'⚙️ Assumptions'!B8,1)</f>
        <v>37.5</v>
      </c>
      <c r="C21" s="33">
        <f>150*'⚙️ Assumptions'!B14*'⚙️ Assumptions'!B11</f>
        <v>4500</v>
      </c>
      <c r="D21" s="33">
        <f>ROUND(150*'⚙️ Assumptions'!B25,0)</f>
        <v>3375</v>
      </c>
      <c r="E21" s="33">
        <f>ROUND((150/'⚙️ Assumptions'!B8)*'🎪 Live-ops Calendar'!J13,0)</f>
        <v>5511</v>
      </c>
      <c r="F21" s="33">
        <f>ROUND((150/'⚙️ Assumptions'!B8)*'⚙️ Assumptions'!B38,0)</f>
        <v>3450</v>
      </c>
      <c r="G21" s="33">
        <f t="shared" si="0"/>
        <v>9936</v>
      </c>
    </row>
    <row r="22" spans="1:7" ht="15" customHeight="1" x14ac:dyDescent="0.25">
      <c r="A22" s="34">
        <v>175</v>
      </c>
      <c r="B22" s="35">
        <f>ROUND(175/'⚙️ Assumptions'!B8,1)</f>
        <v>43.8</v>
      </c>
      <c r="C22" s="24">
        <f>175*'⚙️ Assumptions'!B14*'⚙️ Assumptions'!B11</f>
        <v>5250</v>
      </c>
      <c r="D22" s="36">
        <f>ROUND(175*'⚙️ Assumptions'!B25,0)</f>
        <v>3938</v>
      </c>
      <c r="E22" s="37">
        <f>ROUND((175/'⚙️ Assumptions'!B8)*'🎪 Live-ops Calendar'!J13,0)</f>
        <v>6429</v>
      </c>
      <c r="F22" s="38">
        <f>ROUND((175/'⚙️ Assumptions'!B8)*'⚙️ Assumptions'!B38,0)</f>
        <v>4025</v>
      </c>
      <c r="G22" s="39">
        <f t="shared" si="0"/>
        <v>11592</v>
      </c>
    </row>
    <row r="23" spans="1:7" ht="15" customHeight="1" x14ac:dyDescent="0.25">
      <c r="A23" s="31">
        <v>200</v>
      </c>
      <c r="B23" s="32">
        <f>ROUND(200/'⚙️ Assumptions'!B8,1)</f>
        <v>50</v>
      </c>
      <c r="C23" s="33">
        <f>200*'⚙️ Assumptions'!B14*'⚙️ Assumptions'!B11</f>
        <v>6000</v>
      </c>
      <c r="D23" s="33">
        <f>ROUND(200*'⚙️ Assumptions'!B25,0)</f>
        <v>4500</v>
      </c>
      <c r="E23" s="33">
        <f>ROUND((200/'⚙️ Assumptions'!B8)*'🎪 Live-ops Calendar'!J13,0)</f>
        <v>7348</v>
      </c>
      <c r="F23" s="33">
        <f>ROUND((200/'⚙️ Assumptions'!B8)*'⚙️ Assumptions'!B38,0)</f>
        <v>4600</v>
      </c>
      <c r="G23" s="33">
        <f t="shared" si="0"/>
        <v>13248</v>
      </c>
    </row>
    <row r="24" spans="1:7" ht="15" customHeight="1" x14ac:dyDescent="0.25">
      <c r="A24" s="34">
        <v>225</v>
      </c>
      <c r="B24" s="35">
        <f>ROUND(225/'⚙️ Assumptions'!B8,1)</f>
        <v>56.3</v>
      </c>
      <c r="C24" s="24">
        <f>225*'⚙️ Assumptions'!B14*'⚙️ Assumptions'!B11</f>
        <v>6750</v>
      </c>
      <c r="D24" s="36">
        <f>ROUND(225*'⚙️ Assumptions'!B25,0)</f>
        <v>5063</v>
      </c>
      <c r="E24" s="37">
        <f>ROUND((225/'⚙️ Assumptions'!B8)*'🎪 Live-ops Calendar'!J13,0)</f>
        <v>8266</v>
      </c>
      <c r="F24" s="38">
        <f>ROUND((225/'⚙️ Assumptions'!B8)*'⚙️ Assumptions'!B38,0)</f>
        <v>5175</v>
      </c>
      <c r="G24" s="39">
        <f t="shared" si="0"/>
        <v>14904</v>
      </c>
    </row>
    <row r="25" spans="1:7" ht="15" customHeight="1" x14ac:dyDescent="0.25">
      <c r="A25" s="34">
        <v>250</v>
      </c>
      <c r="B25" s="35">
        <f>ROUND(250/'⚙️ Assumptions'!B8,1)</f>
        <v>62.5</v>
      </c>
      <c r="C25" s="24">
        <f>A25*'⚙️ Assumptions'!$B$14*'⚙️ Assumptions'!$B$11</f>
        <v>7500</v>
      </c>
      <c r="D25" s="36">
        <f>ROUND(250*'⚙️ Assumptions'!B25,0)</f>
        <v>5625</v>
      </c>
      <c r="E25" s="37">
        <f>ROUND((250/'⚙️ Assumptions'!B8)*'🎪 Live-ops Calendar'!J13,0)</f>
        <v>9184</v>
      </c>
      <c r="F25" s="38">
        <f>ROUND((250/'⚙️ Assumptions'!B8)*'⚙️ Assumptions'!B38,0)</f>
        <v>5750</v>
      </c>
      <c r="G25" s="39">
        <f t="shared" si="0"/>
        <v>16559</v>
      </c>
    </row>
    <row r="26" spans="1:7" ht="15" customHeight="1" x14ac:dyDescent="0.25">
      <c r="A26" s="34">
        <v>275</v>
      </c>
      <c r="B26" s="35">
        <f>ROUND(275/'⚙️ Assumptions'!B8,1)</f>
        <v>68.8</v>
      </c>
      <c r="C26" s="24">
        <f>A26*'⚙️ Assumptions'!$B$14*'⚙️ Assumptions'!$B$11</f>
        <v>8250</v>
      </c>
      <c r="D26" s="36">
        <f>ROUND(275*'⚙️ Assumptions'!B25,0)</f>
        <v>6188</v>
      </c>
      <c r="E26" s="37">
        <f>ROUND((275/'⚙️ Assumptions'!B8)*'🎪 Live-ops Calendar'!J13,0)</f>
        <v>10103</v>
      </c>
      <c r="F26" s="38">
        <f>ROUND((275/'⚙️ Assumptions'!B8)*'⚙️ Assumptions'!B38,0)</f>
        <v>6325</v>
      </c>
      <c r="G26" s="39">
        <f t="shared" si="0"/>
        <v>18216</v>
      </c>
    </row>
    <row r="27" spans="1:7" ht="15" customHeight="1" x14ac:dyDescent="0.25">
      <c r="A27" s="65">
        <v>300</v>
      </c>
      <c r="B27" s="66">
        <f>ROUND(300/'⚙️ Assumptions'!B8,1)</f>
        <v>75</v>
      </c>
      <c r="C27" s="68">
        <f>A27*'⚙️ Assumptions'!$B$14*'⚙️ Assumptions'!$B$11</f>
        <v>9000</v>
      </c>
      <c r="D27" s="67">
        <f>ROUND(300*'⚙️ Assumptions'!B25,0)</f>
        <v>6750</v>
      </c>
      <c r="E27" s="67">
        <f>ROUND((300/'⚙️ Assumptions'!B8)*'🎪 Live-ops Calendar'!J13,0)</f>
        <v>11021</v>
      </c>
      <c r="F27" s="67">
        <f>ROUND((300/'⚙️ Assumptions'!B8)*'⚙️ Assumptions'!B38,0)</f>
        <v>6900</v>
      </c>
      <c r="G27" s="67">
        <f t="shared" si="0"/>
        <v>19871</v>
      </c>
    </row>
    <row r="28" spans="1:7" ht="15" customHeight="1" x14ac:dyDescent="0.25">
      <c r="A28" s="34">
        <v>325</v>
      </c>
      <c r="B28" s="35">
        <f>ROUND(325/'⚙️ Assumptions'!B8,1)</f>
        <v>81.3</v>
      </c>
      <c r="C28" s="24">
        <f>A28*'⚙️ Assumptions'!$B$14*'⚙️ Assumptions'!$B$11</f>
        <v>9750</v>
      </c>
      <c r="D28" s="36">
        <f>ROUND(325*'⚙️ Assumptions'!B25,0)</f>
        <v>7313</v>
      </c>
      <c r="E28" s="37">
        <f>ROUND((325/'⚙️ Assumptions'!B8)*'🎪 Live-ops Calendar'!J13,0)</f>
        <v>11940</v>
      </c>
      <c r="F28" s="38">
        <f>ROUND((325/'⚙️ Assumptions'!B8)*'⚙️ Assumptions'!B38,0)</f>
        <v>7475</v>
      </c>
      <c r="G28" s="39">
        <f t="shared" si="0"/>
        <v>21528</v>
      </c>
    </row>
    <row r="29" spans="1:7" ht="15" customHeight="1" x14ac:dyDescent="0.25">
      <c r="A29" s="34">
        <v>350</v>
      </c>
      <c r="B29" s="35">
        <f>ROUND(350/'⚙️ Assumptions'!B8,1)</f>
        <v>87.5</v>
      </c>
      <c r="C29" s="24">
        <f>A29*'⚙️ Assumptions'!$B$14*'⚙️ Assumptions'!$B$11</f>
        <v>10500</v>
      </c>
      <c r="D29" s="36">
        <f>ROUND(350*'⚙️ Assumptions'!B25,0)</f>
        <v>7875</v>
      </c>
      <c r="E29" s="37">
        <f>ROUND((350/'⚙️ Assumptions'!B8)*'🎪 Live-ops Calendar'!J13,0)</f>
        <v>12858</v>
      </c>
      <c r="F29" s="38">
        <f>ROUND((350/'⚙️ Assumptions'!B8)*'⚙️ Assumptions'!B38,0)</f>
        <v>8050</v>
      </c>
      <c r="G29" s="39">
        <f t="shared" si="0"/>
        <v>23183</v>
      </c>
    </row>
    <row r="30" spans="1:7" ht="15" customHeight="1" x14ac:dyDescent="0.25">
      <c r="A30" s="34">
        <v>375</v>
      </c>
      <c r="B30" s="35">
        <f>ROUND(375/'⚙️ Assumptions'!B8,1)</f>
        <v>93.8</v>
      </c>
      <c r="C30" s="24">
        <f>A30*'⚙️ Assumptions'!$B$14*'⚙️ Assumptions'!$B$11</f>
        <v>11250</v>
      </c>
      <c r="D30" s="36">
        <f>ROUND(375*'⚙️ Assumptions'!B25,0)</f>
        <v>8438</v>
      </c>
      <c r="E30" s="37">
        <f>ROUND((375/'⚙️ Assumptions'!B8)*'🎪 Live-ops Calendar'!J13,0)</f>
        <v>13777</v>
      </c>
      <c r="F30" s="38">
        <f>ROUND((375/'⚙️ Assumptions'!B8)*'⚙️ Assumptions'!B38,0)</f>
        <v>8625</v>
      </c>
      <c r="G30" s="39">
        <f t="shared" si="0"/>
        <v>24840</v>
      </c>
    </row>
    <row r="31" spans="1:7" ht="15" customHeight="1" x14ac:dyDescent="0.25">
      <c r="A31" s="65">
        <v>400</v>
      </c>
      <c r="B31" s="66">
        <f>ROUND(400/'⚙️ Assumptions'!B8,1)</f>
        <v>100</v>
      </c>
      <c r="C31" s="68">
        <f>A31*'⚙️ Assumptions'!$B$14*'⚙️ Assumptions'!$B$11</f>
        <v>12000</v>
      </c>
      <c r="D31" s="67">
        <f>ROUND(400*'⚙️ Assumptions'!B25,0)</f>
        <v>9000</v>
      </c>
      <c r="E31" s="67">
        <f>ROUND((400/'⚙️ Assumptions'!B8)*'🎪 Live-ops Calendar'!J13,0)</f>
        <v>14695</v>
      </c>
      <c r="F31" s="67">
        <f>ROUND((400/'⚙️ Assumptions'!B8)*'⚙️ Assumptions'!B38,0)</f>
        <v>9200</v>
      </c>
      <c r="G31" s="67">
        <f t="shared" si="0"/>
        <v>26495</v>
      </c>
    </row>
    <row r="32" spans="1:7" ht="15" customHeight="1" x14ac:dyDescent="0.25">
      <c r="A32" s="34">
        <v>425</v>
      </c>
      <c r="B32" s="35">
        <f>ROUND(425/'⚙️ Assumptions'!B8,1)</f>
        <v>106.3</v>
      </c>
      <c r="C32" s="24">
        <f>A32*'⚙️ Assumptions'!$B$14*'⚙️ Assumptions'!$B$11</f>
        <v>12750</v>
      </c>
      <c r="D32" s="36">
        <f>ROUND(425*'⚙️ Assumptions'!B25,0)</f>
        <v>9563</v>
      </c>
      <c r="E32" s="37">
        <f>ROUND((425/'⚙️ Assumptions'!B8)*'🎪 Live-ops Calendar'!J13,0)</f>
        <v>15613</v>
      </c>
      <c r="F32" s="38">
        <f>ROUND((425/'⚙️ Assumptions'!B8)*'⚙️ Assumptions'!B38,0)</f>
        <v>9775</v>
      </c>
      <c r="G32" s="39">
        <f t="shared" si="0"/>
        <v>28151</v>
      </c>
    </row>
    <row r="33" spans="1:7" ht="15" customHeight="1" x14ac:dyDescent="0.25">
      <c r="A33" s="34">
        <v>450</v>
      </c>
      <c r="B33" s="35">
        <f>ROUND(450/'⚙️ Assumptions'!B8,1)</f>
        <v>112.5</v>
      </c>
      <c r="C33" s="24">
        <f>A33*'⚙️ Assumptions'!$B$14*'⚙️ Assumptions'!$B$11</f>
        <v>13500</v>
      </c>
      <c r="D33" s="36">
        <f>ROUND(450*'⚙️ Assumptions'!B25,0)</f>
        <v>10125</v>
      </c>
      <c r="E33" s="37">
        <f>ROUND((450/'⚙️ Assumptions'!B8)*'🎪 Live-ops Calendar'!J13,0)</f>
        <v>16532</v>
      </c>
      <c r="F33" s="38">
        <f>ROUND((450/'⚙️ Assumptions'!B8)*'⚙️ Assumptions'!B38,0)</f>
        <v>10350</v>
      </c>
      <c r="G33" s="39">
        <f t="shared" si="0"/>
        <v>29807</v>
      </c>
    </row>
    <row r="34" spans="1:7" ht="15" customHeight="1" x14ac:dyDescent="0.25">
      <c r="A34" s="34">
        <v>475</v>
      </c>
      <c r="B34" s="35">
        <f>ROUND(475/'⚙️ Assumptions'!B8,1)</f>
        <v>118.8</v>
      </c>
      <c r="C34" s="24">
        <f>A34*'⚙️ Assumptions'!$B$14*'⚙️ Assumptions'!$B$11</f>
        <v>14250</v>
      </c>
      <c r="D34" s="36">
        <f>ROUND(475*'⚙️ Assumptions'!B25,0)</f>
        <v>10688</v>
      </c>
      <c r="E34" s="37">
        <f>ROUND((475/'⚙️ Assumptions'!B8)*'🎪 Live-ops Calendar'!J13,0)</f>
        <v>17450</v>
      </c>
      <c r="F34" s="38">
        <f>ROUND((475/'⚙️ Assumptions'!B8)*'⚙️ Assumptions'!B38,0)</f>
        <v>10925</v>
      </c>
      <c r="G34" s="39">
        <f t="shared" si="0"/>
        <v>31463</v>
      </c>
    </row>
    <row r="35" spans="1:7" ht="15" customHeight="1" x14ac:dyDescent="0.25">
      <c r="A35" s="65">
        <v>500</v>
      </c>
      <c r="B35" s="66">
        <f>ROUND(500/'⚙️ Assumptions'!B8,1)</f>
        <v>125</v>
      </c>
      <c r="C35" s="68">
        <f>A35*'⚙️ Assumptions'!$B$14*'⚙️ Assumptions'!$B$11</f>
        <v>15000</v>
      </c>
      <c r="D35" s="67">
        <f>ROUND(500*'⚙️ Assumptions'!B25,0)</f>
        <v>11250</v>
      </c>
      <c r="E35" s="67">
        <f>ROUND((500/'⚙️ Assumptions'!B8)*'🎪 Live-ops Calendar'!J13,0)</f>
        <v>18369</v>
      </c>
      <c r="F35" s="67">
        <f>ROUND((500/'⚙️ Assumptions'!B8)*'⚙️ Assumptions'!B38,0)</f>
        <v>11500</v>
      </c>
      <c r="G35" s="67">
        <f t="shared" si="0"/>
        <v>33119</v>
      </c>
    </row>
    <row r="36" spans="1:7" ht="15" customHeight="1" x14ac:dyDescent="0.25">
      <c r="A36" s="34"/>
      <c r="B36" s="34"/>
      <c r="C36" s="34"/>
      <c r="D36" s="34"/>
      <c r="E36" s="34"/>
      <c r="F36" s="34"/>
      <c r="G36" s="34"/>
    </row>
    <row r="37" spans="1:7" ht="15" customHeight="1" x14ac:dyDescent="0.25">
      <c r="A37" s="34"/>
      <c r="B37" s="34"/>
      <c r="C37" s="34"/>
      <c r="D37" s="34"/>
      <c r="E37" s="34"/>
      <c r="F37" s="34"/>
      <c r="G37" s="34"/>
    </row>
    <row r="38" spans="1:7" ht="15" customHeight="1" x14ac:dyDescent="0.25">
      <c r="A38" s="34"/>
      <c r="B38" s="34"/>
      <c r="C38" s="34"/>
      <c r="D38" s="34"/>
      <c r="E38" s="34"/>
      <c r="F38" s="34"/>
      <c r="G38" s="34"/>
    </row>
    <row r="39" spans="1:7" ht="15" customHeight="1" x14ac:dyDescent="0.25">
      <c r="A39" s="34"/>
      <c r="B39" s="34"/>
      <c r="C39" s="34"/>
      <c r="D39" s="34"/>
      <c r="E39" s="34"/>
      <c r="F39" s="34"/>
      <c r="G39" s="34"/>
    </row>
    <row r="40" spans="1:7" ht="15" customHeight="1" x14ac:dyDescent="0.25">
      <c r="A40" s="34"/>
      <c r="B40" s="34"/>
      <c r="C40" s="34"/>
      <c r="D40" s="34"/>
      <c r="E40" s="34"/>
      <c r="F40" s="34"/>
      <c r="G40" s="34"/>
    </row>
    <row r="41" spans="1:7" ht="15" customHeight="1" x14ac:dyDescent="0.25">
      <c r="A41" s="34"/>
      <c r="B41" s="34"/>
      <c r="C41" s="34"/>
      <c r="D41" s="34"/>
      <c r="E41" s="34"/>
      <c r="F41" s="34"/>
      <c r="G41" s="34"/>
    </row>
  </sheetData>
  <mergeCells count="2">
    <mergeCell ref="A1:E1"/>
    <mergeCell ref="A2:G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zoomScaleNormal="100" workbookViewId="0">
      <selection activeCell="C16" sqref="C16"/>
    </sheetView>
  </sheetViews>
  <sheetFormatPr defaultColWidth="8.7109375" defaultRowHeight="15" x14ac:dyDescent="0.25"/>
  <cols>
    <col min="1" max="1" width="30" style="1" customWidth="1"/>
    <col min="2" max="2" width="38" style="1" customWidth="1"/>
    <col min="3" max="3" width="18" style="1" customWidth="1"/>
    <col min="4" max="4" width="16" style="1" customWidth="1"/>
  </cols>
  <sheetData>
    <row r="1" spans="1:4" ht="25.5" customHeight="1" x14ac:dyDescent="0.25">
      <c r="A1" s="93" t="s">
        <v>113</v>
      </c>
      <c r="B1" s="87"/>
      <c r="C1" s="87"/>
      <c r="D1" s="87"/>
    </row>
    <row r="3" spans="1:4" ht="15" customHeight="1" x14ac:dyDescent="0.25">
      <c r="A3" s="94" t="s">
        <v>114</v>
      </c>
      <c r="B3" s="94"/>
      <c r="C3" s="94"/>
      <c r="D3" s="94"/>
    </row>
    <row r="4" spans="1:4" ht="15" customHeight="1" x14ac:dyDescent="0.25">
      <c r="A4" s="27" t="s">
        <v>34</v>
      </c>
      <c r="B4" s="27" t="s">
        <v>35</v>
      </c>
      <c r="C4" s="27" t="s">
        <v>115</v>
      </c>
      <c r="D4" s="27" t="s">
        <v>36</v>
      </c>
    </row>
    <row r="5" spans="1:4" ht="15" customHeight="1" x14ac:dyDescent="0.25">
      <c r="A5" s="4" t="s">
        <v>37</v>
      </c>
      <c r="B5" s="6" t="s">
        <v>116</v>
      </c>
      <c r="C5" s="40">
        <f>'⚙️ Assumptions'!B27</f>
        <v>120</v>
      </c>
      <c r="D5" s="41">
        <f>IFERROR(C5/C8,0)</f>
        <v>0.33618153803053652</v>
      </c>
    </row>
    <row r="6" spans="1:4" ht="21.75" customHeight="1" x14ac:dyDescent="0.25">
      <c r="A6" s="18" t="s">
        <v>38</v>
      </c>
      <c r="B6" s="19" t="s">
        <v>117</v>
      </c>
      <c r="C6" s="20">
        <f>'⚙️ Assumptions'!B26</f>
        <v>90</v>
      </c>
      <c r="D6" s="41">
        <f>IFERROR(C6/C8,0)</f>
        <v>0.25213615352290236</v>
      </c>
    </row>
    <row r="7" spans="1:4" ht="21.75" customHeight="1" x14ac:dyDescent="0.25">
      <c r="A7" s="4" t="s">
        <v>39</v>
      </c>
      <c r="B7" s="6" t="s">
        <v>40</v>
      </c>
      <c r="C7" s="42">
        <f>'🎪 Live-ops Calendar'!J13</f>
        <v>146.94999999999999</v>
      </c>
      <c r="D7" s="41">
        <f>IFERROR(C7/C8,0)</f>
        <v>0.41168230844656112</v>
      </c>
    </row>
    <row r="8" spans="1:4" ht="15" customHeight="1" x14ac:dyDescent="0.25">
      <c r="A8" s="43" t="s">
        <v>41</v>
      </c>
      <c r="B8" s="44"/>
      <c r="C8" s="33">
        <f>SUM(C5:C7)</f>
        <v>356.95</v>
      </c>
      <c r="D8" s="44"/>
    </row>
    <row r="10" spans="1:4" ht="15" customHeight="1" x14ac:dyDescent="0.25">
      <c r="A10" s="95" t="s">
        <v>118</v>
      </c>
      <c r="B10" s="95"/>
      <c r="C10" s="95"/>
      <c r="D10" s="95"/>
    </row>
    <row r="11" spans="1:4" ht="15" customHeight="1" x14ac:dyDescent="0.25">
      <c r="A11" s="30" t="s">
        <v>42</v>
      </c>
      <c r="B11" s="30" t="s">
        <v>35</v>
      </c>
      <c r="C11" s="30" t="s">
        <v>119</v>
      </c>
      <c r="D11" s="30" t="s">
        <v>36</v>
      </c>
    </row>
    <row r="12" spans="1:4" ht="21.75" customHeight="1" x14ac:dyDescent="0.25">
      <c r="A12" s="4" t="s">
        <v>74</v>
      </c>
      <c r="B12" s="77" t="s">
        <v>123</v>
      </c>
      <c r="C12" s="45">
        <f>'⚙️ Assumptions'!B38</f>
        <v>92</v>
      </c>
      <c r="D12" s="46">
        <f>IFERROR(C12/C8,0)</f>
        <v>0.25773917915674466</v>
      </c>
    </row>
    <row r="13" spans="1:4" ht="15" customHeight="1" x14ac:dyDescent="0.25">
      <c r="A13" s="47" t="s">
        <v>43</v>
      </c>
      <c r="B13" s="48"/>
      <c r="C13" s="49">
        <f>C12</f>
        <v>92</v>
      </c>
      <c r="D13" s="48"/>
    </row>
    <row r="15" spans="1:4" ht="15" customHeight="1" x14ac:dyDescent="0.25">
      <c r="A15" s="89" t="s">
        <v>44</v>
      </c>
      <c r="B15" s="89"/>
      <c r="C15" s="89"/>
      <c r="D15" s="89"/>
    </row>
    <row r="16" spans="1:4" ht="15" customHeight="1" x14ac:dyDescent="0.25">
      <c r="A16" s="50" t="s">
        <v>120</v>
      </c>
      <c r="B16" s="51"/>
      <c r="C16" s="9">
        <f>C8-C13</f>
        <v>264.95</v>
      </c>
      <c r="D16" s="51"/>
    </row>
    <row r="17" spans="1:4" ht="15" customHeight="1" x14ac:dyDescent="0.25">
      <c r="A17" s="50" t="s">
        <v>121</v>
      </c>
      <c r="B17" s="51"/>
      <c r="C17" s="24">
        <f>C16*7</f>
        <v>1854.6499999999999</v>
      </c>
      <c r="D17" s="51"/>
    </row>
    <row r="18" spans="1:4" ht="15" customHeight="1" x14ac:dyDescent="0.25">
      <c r="A18" s="50" t="s">
        <v>122</v>
      </c>
      <c r="B18" s="51"/>
      <c r="C18" s="24">
        <f>C16*30</f>
        <v>7948.5</v>
      </c>
      <c r="D18" s="51"/>
    </row>
    <row r="19" spans="1:4" ht="15" customHeight="1" x14ac:dyDescent="0.25">
      <c r="A19" s="50" t="s">
        <v>45</v>
      </c>
      <c r="B19" s="51"/>
      <c r="C19" s="41">
        <f>IFERROR(C6/C8,0)</f>
        <v>0.25213615352290236</v>
      </c>
      <c r="D19" s="51"/>
    </row>
    <row r="20" spans="1:4" ht="15" customHeight="1" x14ac:dyDescent="0.25">
      <c r="A20" s="50" t="s">
        <v>46</v>
      </c>
      <c r="B20" s="51"/>
      <c r="C20" s="41">
        <f>IFERROR(C7/C8,0)</f>
        <v>0.41168230844656112</v>
      </c>
      <c r="D20" s="51"/>
    </row>
    <row r="21" spans="1:4" ht="15" customHeight="1" x14ac:dyDescent="0.25">
      <c r="A21" s="50" t="s">
        <v>47</v>
      </c>
      <c r="B21" s="51"/>
      <c r="C21" s="41">
        <f>IFERROR(C13/C8,0)</f>
        <v>0.25773917915674466</v>
      </c>
      <c r="D21" s="51"/>
    </row>
  </sheetData>
  <mergeCells count="4">
    <mergeCell ref="A1:D1"/>
    <mergeCell ref="A3:D3"/>
    <mergeCell ref="A10:D10"/>
    <mergeCell ref="A15:D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5"/>
  <sheetViews>
    <sheetView zoomScaleNormal="100" workbookViewId="0">
      <selection activeCell="B5" sqref="B5:J8"/>
    </sheetView>
  </sheetViews>
  <sheetFormatPr defaultColWidth="8.7109375" defaultRowHeight="15" x14ac:dyDescent="0.25"/>
  <cols>
    <col min="1" max="1" width="20" style="1" customWidth="1"/>
    <col min="2" max="2" width="15" style="1" customWidth="1"/>
    <col min="3" max="3" width="19.140625" style="1" customWidth="1"/>
    <col min="4" max="4" width="16" style="1" customWidth="1"/>
    <col min="5" max="6" width="15" style="1" customWidth="1"/>
    <col min="7" max="9" width="18" style="1" customWidth="1"/>
    <col min="10" max="10" width="20" style="1" customWidth="1"/>
    <col min="11" max="11" width="28" style="1" customWidth="1"/>
  </cols>
  <sheetData>
    <row r="1" spans="1:11" ht="27.75" customHeight="1" x14ac:dyDescent="0.25">
      <c r="A1" s="96" t="s">
        <v>70</v>
      </c>
      <c r="B1" s="96"/>
      <c r="C1" s="96"/>
      <c r="D1" s="96"/>
      <c r="E1" s="96"/>
      <c r="F1" s="96"/>
      <c r="G1" s="96"/>
      <c r="H1" s="96"/>
      <c r="I1" s="96"/>
      <c r="J1" s="96"/>
      <c r="K1" s="96"/>
    </row>
    <row r="2" spans="1:11" ht="15" customHeight="1" x14ac:dyDescent="0.25">
      <c r="A2" s="92" t="s">
        <v>48</v>
      </c>
      <c r="B2" s="88"/>
      <c r="C2" s="88"/>
      <c r="D2" s="88"/>
      <c r="E2" s="88"/>
      <c r="F2" s="88"/>
      <c r="G2" s="88"/>
      <c r="H2" s="88"/>
      <c r="I2" s="88"/>
      <c r="J2" s="88"/>
      <c r="K2" s="88"/>
    </row>
    <row r="3" spans="1:11" ht="15" customHeight="1" x14ac:dyDescent="0.25">
      <c r="A3" s="97" t="s">
        <v>49</v>
      </c>
      <c r="B3" s="97"/>
      <c r="C3" s="97"/>
      <c r="D3" s="97"/>
      <c r="E3" s="97"/>
      <c r="F3" s="97"/>
      <c r="G3" s="97"/>
      <c r="H3" s="97"/>
      <c r="I3" s="97"/>
      <c r="J3" s="97"/>
      <c r="K3" s="97"/>
    </row>
    <row r="4" spans="1:11" ht="39.75" customHeight="1" x14ac:dyDescent="0.25">
      <c r="A4" s="3" t="s">
        <v>26</v>
      </c>
      <c r="B4" s="3" t="s">
        <v>50</v>
      </c>
      <c r="C4" s="3" t="s">
        <v>65</v>
      </c>
      <c r="D4" s="3" t="s">
        <v>66</v>
      </c>
      <c r="E4" s="3" t="s">
        <v>51</v>
      </c>
      <c r="F4" s="3" t="s">
        <v>67</v>
      </c>
      <c r="G4" s="3" t="s">
        <v>68</v>
      </c>
      <c r="H4" s="3" t="s">
        <v>52</v>
      </c>
      <c r="I4" s="3" t="s">
        <v>73</v>
      </c>
      <c r="J4" s="3" t="s">
        <v>69</v>
      </c>
      <c r="K4" s="3" t="s">
        <v>53</v>
      </c>
    </row>
    <row r="5" spans="1:11" ht="60" x14ac:dyDescent="0.25">
      <c r="A5" s="52" t="s">
        <v>58</v>
      </c>
      <c r="B5" s="5">
        <v>4</v>
      </c>
      <c r="C5" s="5">
        <v>5030</v>
      </c>
      <c r="D5" s="25">
        <v>1400</v>
      </c>
      <c r="E5" s="8">
        <v>0.5</v>
      </c>
      <c r="F5" s="74">
        <f>IF(ISNUMBER(C5),C5*E5,0)</f>
        <v>2515</v>
      </c>
      <c r="G5" s="74">
        <f t="shared" ref="G5:G11" si="0">IF(ISNUMBER(D5),D5*E5,0)</f>
        <v>700</v>
      </c>
      <c r="H5" s="73">
        <v>4</v>
      </c>
      <c r="I5" s="75">
        <f>IF(ISNUMBER(B5)*ISNUMBER(C5),F5*H5,0)</f>
        <v>10060</v>
      </c>
      <c r="J5" s="75">
        <f t="shared" ref="J5:J11" si="1">IF(ISNUMBER(B5)*ISNUMBER(D5),G5*H5,0)</f>
        <v>2800</v>
      </c>
      <c r="K5" s="58" t="s">
        <v>54</v>
      </c>
    </row>
    <row r="6" spans="1:11" ht="25.5" x14ac:dyDescent="0.25">
      <c r="A6" s="43" t="s">
        <v>59</v>
      </c>
      <c r="B6" s="5">
        <v>30</v>
      </c>
      <c r="C6" s="5">
        <v>8280</v>
      </c>
      <c r="D6" s="25">
        <v>480</v>
      </c>
      <c r="E6" s="8">
        <v>0.6</v>
      </c>
      <c r="F6" s="74">
        <f t="shared" ref="F6:F11" si="2">IF(ISNUMBER(C6),C6*E6,0)</f>
        <v>4968</v>
      </c>
      <c r="G6" s="74">
        <f t="shared" si="0"/>
        <v>288</v>
      </c>
      <c r="H6" s="73">
        <f t="shared" ref="H6:H11" si="3">IF(ISNUMBER(B6),ROUND(30/B6,1),"—")</f>
        <v>1</v>
      </c>
      <c r="I6" s="75">
        <f t="shared" ref="I6:I11" si="4">IF(ISNUMBER(B6)*ISNUMBER(C6),F6*H6,0)</f>
        <v>4968</v>
      </c>
      <c r="J6" s="75">
        <f t="shared" si="1"/>
        <v>288</v>
      </c>
      <c r="K6" s="60" t="s">
        <v>71</v>
      </c>
    </row>
    <row r="7" spans="1:11" ht="48" x14ac:dyDescent="0.25">
      <c r="A7" s="53" t="s">
        <v>60</v>
      </c>
      <c r="B7" s="5">
        <v>3</v>
      </c>
      <c r="C7" s="5">
        <v>3000</v>
      </c>
      <c r="D7" s="25">
        <v>420</v>
      </c>
      <c r="E7" s="8">
        <v>0.6</v>
      </c>
      <c r="F7" s="74">
        <f t="shared" si="2"/>
        <v>1800</v>
      </c>
      <c r="G7" s="74">
        <f t="shared" si="0"/>
        <v>252</v>
      </c>
      <c r="H7" s="73">
        <v>4</v>
      </c>
      <c r="I7" s="75">
        <f t="shared" si="4"/>
        <v>7200</v>
      </c>
      <c r="J7" s="75">
        <f t="shared" si="1"/>
        <v>1008</v>
      </c>
      <c r="K7" s="54" t="s">
        <v>72</v>
      </c>
    </row>
    <row r="8" spans="1:11" ht="36" x14ac:dyDescent="0.25">
      <c r="A8" s="47" t="s">
        <v>61</v>
      </c>
      <c r="B8" s="5">
        <v>30</v>
      </c>
      <c r="C8" s="5">
        <v>12850</v>
      </c>
      <c r="D8" s="25">
        <v>6250</v>
      </c>
      <c r="E8" s="8">
        <v>0.05</v>
      </c>
      <c r="F8" s="74">
        <f t="shared" si="2"/>
        <v>642.5</v>
      </c>
      <c r="G8" s="74">
        <f t="shared" si="0"/>
        <v>312.5</v>
      </c>
      <c r="H8" s="73">
        <f t="shared" si="3"/>
        <v>1</v>
      </c>
      <c r="I8" s="75">
        <f t="shared" si="4"/>
        <v>642.5</v>
      </c>
      <c r="J8" s="75">
        <f t="shared" si="1"/>
        <v>312.5</v>
      </c>
      <c r="K8" s="12" t="s">
        <v>75</v>
      </c>
    </row>
    <row r="9" spans="1:11" ht="25.5" x14ac:dyDescent="0.25">
      <c r="A9" s="55" t="s">
        <v>64</v>
      </c>
      <c r="B9" s="5"/>
      <c r="C9" s="5"/>
      <c r="D9" s="25"/>
      <c r="E9" s="8"/>
      <c r="F9" s="24">
        <f t="shared" si="2"/>
        <v>0</v>
      </c>
      <c r="G9" s="24">
        <f t="shared" si="0"/>
        <v>0</v>
      </c>
      <c r="H9" s="7" t="str">
        <f t="shared" si="3"/>
        <v>—</v>
      </c>
      <c r="I9" s="40">
        <f t="shared" si="4"/>
        <v>0</v>
      </c>
      <c r="J9" s="40">
        <f t="shared" si="1"/>
        <v>0</v>
      </c>
      <c r="K9" s="56"/>
    </row>
    <row r="10" spans="1:11" x14ac:dyDescent="0.25">
      <c r="A10" s="57" t="s">
        <v>62</v>
      </c>
      <c r="B10" s="5"/>
      <c r="C10" s="5"/>
      <c r="D10" s="25"/>
      <c r="E10" s="8"/>
      <c r="F10" s="24">
        <f t="shared" si="2"/>
        <v>0</v>
      </c>
      <c r="G10" s="24">
        <f t="shared" si="0"/>
        <v>0</v>
      </c>
      <c r="H10" s="7" t="str">
        <f t="shared" si="3"/>
        <v>—</v>
      </c>
      <c r="I10" s="40">
        <f t="shared" si="4"/>
        <v>0</v>
      </c>
      <c r="J10" s="40">
        <f t="shared" si="1"/>
        <v>0</v>
      </c>
      <c r="K10" s="58"/>
    </row>
    <row r="11" spans="1:11" x14ac:dyDescent="0.25">
      <c r="A11" s="59" t="s">
        <v>63</v>
      </c>
      <c r="B11" s="5"/>
      <c r="C11" s="5"/>
      <c r="D11" s="25"/>
      <c r="E11" s="8"/>
      <c r="F11" s="24">
        <f t="shared" si="2"/>
        <v>0</v>
      </c>
      <c r="G11" s="24">
        <f t="shared" si="0"/>
        <v>0</v>
      </c>
      <c r="H11" s="7" t="str">
        <f t="shared" si="3"/>
        <v>—</v>
      </c>
      <c r="I11" s="40">
        <f t="shared" si="4"/>
        <v>0</v>
      </c>
      <c r="J11" s="40">
        <f t="shared" si="1"/>
        <v>0</v>
      </c>
      <c r="K11" s="60"/>
    </row>
    <row r="12" spans="1:11" ht="25.5" x14ac:dyDescent="0.25">
      <c r="A12" s="43" t="s">
        <v>55</v>
      </c>
      <c r="B12" s="44"/>
      <c r="C12" s="44"/>
      <c r="D12" s="44"/>
      <c r="E12" s="44"/>
      <c r="F12" s="44"/>
      <c r="G12" s="44"/>
      <c r="H12" s="44"/>
      <c r="I12" s="33">
        <f>SUM(I5:I11)</f>
        <v>22870.5</v>
      </c>
      <c r="J12" s="33">
        <f>SUM(J5:J11)</f>
        <v>4408.5</v>
      </c>
      <c r="K12" s="44"/>
    </row>
    <row r="13" spans="1:11" ht="25.5" x14ac:dyDescent="0.25">
      <c r="A13" s="61" t="s">
        <v>56</v>
      </c>
      <c r="B13" s="51"/>
      <c r="C13" s="51"/>
      <c r="D13" s="51"/>
      <c r="E13" s="51"/>
      <c r="F13" s="51"/>
      <c r="G13" s="51"/>
      <c r="H13" s="51"/>
      <c r="I13" s="62">
        <f>I12/30</f>
        <v>762.35</v>
      </c>
      <c r="J13" s="62">
        <f>J12/30</f>
        <v>146.94999999999999</v>
      </c>
      <c r="K13" s="51"/>
    </row>
    <row r="15" spans="1:11" x14ac:dyDescent="0.25">
      <c r="A15" s="98" t="s">
        <v>57</v>
      </c>
      <c r="B15" s="98"/>
      <c r="C15" s="98"/>
      <c r="D15" s="98"/>
      <c r="E15" s="98"/>
      <c r="F15" s="98"/>
      <c r="G15" s="98"/>
      <c r="H15" s="98"/>
      <c r="I15" s="98"/>
      <c r="J15" s="98"/>
      <c r="K15" s="98"/>
    </row>
  </sheetData>
  <mergeCells count="4">
    <mergeCell ref="A1:K1"/>
    <mergeCell ref="A2:K2"/>
    <mergeCell ref="A3:K3"/>
    <mergeCell ref="A15:K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⚙️ Assumptions</vt:lpstr>
      <vt:lpstr>📈 Player Journey</vt:lpstr>
      <vt:lpstr>💰 Daily Gold Flow</vt:lpstr>
      <vt:lpstr>🎪 Live-ops 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DPC00190</cp:lastModifiedBy>
  <cp:revision>0</cp:revision>
  <dcterms:created xsi:type="dcterms:W3CDTF">2026-05-05T00:48:50Z</dcterms:created>
  <dcterms:modified xsi:type="dcterms:W3CDTF">2026-08-24T09:20:37Z</dcterms:modified>
  <dc:language>en-US</dc:language>
</cp:coreProperties>
</file>